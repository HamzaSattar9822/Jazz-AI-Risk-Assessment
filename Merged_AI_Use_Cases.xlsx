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e Office\Downloads\"/>
    </mc:Choice>
  </mc:AlternateContent>
  <xr:revisionPtr revIDLastSave="0" documentId="13_ncr:1_{F8171B5F-18A0-48F8-A844-4CD2312C307A}" xr6:coauthVersionLast="47" xr6:coauthVersionMax="47" xr10:uidLastSave="{00000000-0000-0000-0000-000000000000}"/>
  <bookViews>
    <workbookView xWindow="-110" yWindow="-110" windowWidth="19420" windowHeight="10300" tabRatio="500" xr2:uid="{00000000-000D-0000-FFFF-FFFF00000000}"/>
  </bookViews>
  <sheets>
    <sheet name="Data Collection Template" sheetId="1" r:id="rId1"/>
    <sheet name="GAP" sheetId="2" r:id="rId2"/>
  </sheets>
  <definedNames>
    <definedName name="_xlnm._FilterDatabase" localSheetId="0" hidden="1">'Data Collection Template'!$A$3:$P$221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39" i="1" l="1"/>
  <c r="A120"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1" i="1"/>
  <c r="A122" i="1"/>
  <c r="A123" i="1"/>
  <c r="A124" i="1"/>
  <c r="A125" i="1"/>
  <c r="A126" i="1"/>
  <c r="A127" i="1"/>
  <c r="A128" i="1"/>
  <c r="A129" i="1"/>
  <c r="A130" i="1"/>
  <c r="A131" i="1"/>
  <c r="A132" i="1"/>
  <c r="A133" i="1"/>
  <c r="A134" i="1"/>
  <c r="A135" i="1"/>
  <c r="A136" i="1"/>
  <c r="A137" i="1"/>
  <c r="A138"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alcChain>
</file>

<file path=xl/sharedStrings.xml><?xml version="1.0" encoding="utf-8"?>
<sst xmlns="http://schemas.openxmlformats.org/spreadsheetml/2006/main" count="1965" uniqueCount="767">
  <si>
    <t>S/N</t>
  </si>
  <si>
    <t>Business Unit</t>
  </si>
  <si>
    <t>Summary</t>
  </si>
  <si>
    <t>Description</t>
  </si>
  <si>
    <t>Progress</t>
  </si>
  <si>
    <t>Business division</t>
  </si>
  <si>
    <t>Technical Owner</t>
  </si>
  <si>
    <t>Segment</t>
  </si>
  <si>
    <t>Value Driver</t>
  </si>
  <si>
    <t>Estimated Annual Value (USD) / ROI</t>
  </si>
  <si>
    <t>Estimated Investment (USD) / Cost</t>
  </si>
  <si>
    <t>Spending Done to Date</t>
  </si>
  <si>
    <t>Estimated Hours Saved (Annual)</t>
  </si>
  <si>
    <t>Status
Implemented/in Progress</t>
  </si>
  <si>
    <t>Risk Level</t>
  </si>
  <si>
    <t>Time Horizon (Years)</t>
  </si>
  <si>
    <t>Technology</t>
  </si>
  <si>
    <t xml:space="preserve">GuideBot </t>
  </si>
  <si>
    <t>Developed Guide Bot, an AI-powered chatbot that enables users to access and analyze network KPI and parameter data through both natural language conversations and SQL-based queries. The solution provides fast, intuitive access to network intelligence for technical and non-technical users alike.</t>
  </si>
  <si>
    <t>Valid</t>
  </si>
  <si>
    <t>Technology Performance &amp; Service Assurance</t>
  </si>
  <si>
    <t>Taimur Hasan (QoS &amp; Performance Team)</t>
  </si>
  <si>
    <t>Corporate AI</t>
  </si>
  <si>
    <t>Productivity</t>
  </si>
  <si>
    <t>40-60 Hours per  Month / saving 3-5M PKR in Cost</t>
  </si>
  <si>
    <t>Implemented</t>
  </si>
  <si>
    <t>AI-Powered Core Network KPI Monitoring &amp; Incident Management</t>
  </si>
  <si>
    <t>Develop an Agentic AI assistant that continuously monitors Core Network KPIs, detects abnormal behavior, investigates probable causes, and automates operational workflows across EPC/5GC components to minimize service degradation.</t>
  </si>
  <si>
    <t>QoS &amp; Performance Team</t>
  </si>
  <si>
    <t>In Progress</t>
  </si>
  <si>
    <t>AI-Powered RAN KPI Monitoring &amp; Incident Management</t>
  </si>
  <si>
    <t>Develop an Agentic AI solution that continuously monitors RAN KPIs across all regions, detects anomalies, identifies probable root causes, and orchestrates the investigation and resolution process. The system correlates performance degradation with alarms, configuration changes, outages, and historical incidents to enable proactive network optimization.</t>
  </si>
  <si>
    <t>Autonomous USF Report Generator</t>
  </si>
  <si>
    <t>Develop an Agentic AI solution that automates the end-to-end USF quarterly reporting process. The solution intelligently detects report requests from emails, identifies the relevant project, milestone, and reporting period, retrieves the correct site list and KPI data, validates data completeness, and automatically generates standardized reports along with draft submission emails. The AI agent proactively monitors reporting calendars, initiates report preparation before deadlines, coordinates validation and approval workflows, tracks submission status, and maintains a centralized report repository. This significantly reduces manual effort, improves reporting accuracy, ensures timely submissions, and standardizes compliance reporting across all USF projects.</t>
  </si>
  <si>
    <t>5G Tech Guide Bot</t>
  </si>
  <si>
    <t>Developed GuideBot, an Agentic AI-powered Huawei Network Intelligence Platform that enables users to access and analyze 2G/4G network KPIs, parameters, and engineering knowledge through natural language. Leveraging intelligent agent orchestration, the platform dynamically routes each query to semantic search, SQL retrieval, or a hybrid workflow, delivering comprehensive, context-aware, and domain-specialized insights grounded in Huawei network documentation and operational data. The platform adapts its responses to the user's level of expertise, providing intuitive explanations for non-technical users while delivering the technical depth required by network engineers through a single conversational interface.</t>
  </si>
  <si>
    <t>Tech Volte Bot</t>
  </si>
  <si>
    <t>Designed and deployed an AI-driven VoLTE Knowledge Assistant that enables users to access parameter guidelines, configuration recommendations, and optimization insights through a conversational interface. The solution transforms complex technical documentation into an easily searchable knowledge resource, improving accessibility and knowledge utilization across teams.</t>
  </si>
  <si>
    <t>DBSS Contabot</t>
  </si>
  <si>
    <t>AI-powered Enterprise Contract Intelligence Platform that transforms scanned and digital contracts into a searchable, structured knowledge base, enabling instant natural language access to contractual information. It delivers accurate, citation-backed answers with document references, helping employees quickly interpret, compare, and validate complex contracts for DBSS Contracts</t>
  </si>
  <si>
    <t>Contra Bot</t>
  </si>
  <si>
    <t>AI-powered Enterprise Contract Intelligence Platform that transforms scanned and digital contracts into a searchable, structured knowledge base, enabling instant natural language access to contractual information. It delivers accurate, citation-backed answers with document references, helping employees quickly interpret, compare, and validate complex contracts.</t>
  </si>
  <si>
    <t>Yasir Lodhi (QoS &amp; Performance Team)</t>
  </si>
  <si>
    <t>80-120 hours per month PKR 8–10M in enterprise AI procurement costs</t>
  </si>
  <si>
    <t>EPC Bot</t>
  </si>
  <si>
    <t>AI-powered Packet Core Parameter Chatbot that provides instant access to packet core configuration knowledge through natural language interactions. The solution accelerates troubleshooting, improves operational efficiency, and reduces dependency on manual document searches for technical teams. It also enables users with limited packet core domain expertise to quickly learn concepts, understand configurations, and effectively leverage packet core knowledge through intuitive, conversational guidance.</t>
  </si>
  <si>
    <t>30+ per month 4-7M commercial sol costs</t>
  </si>
  <si>
    <t>LexAI</t>
  </si>
  <si>
    <t>ETL Pipeline to transform unstructured and poorly scanned data to a structured data. LexAI to upload legal PDFs, perform OCR, clean text using LLM, extract structured legal fields, index documents into a dedicated Legal RAG layer, and provide an AI chat interface with retained chat history.</t>
  </si>
  <si>
    <t>IT+RA Team</t>
  </si>
  <si>
    <t>Hamza Fareed</t>
  </si>
  <si>
    <t>Cost Reduction</t>
  </si>
  <si>
    <t>None / Internal Effort to Date</t>
  </si>
  <si>
    <t>AI Agent: Purchase Requisition Status Advisor</t>
  </si>
  <si>
    <t xml:space="preserve">The Purchase Requisition Status Advisor agent provides users easy access to the status and information of their recent requisitions using an AI agent-based chat.  The agent can also return deep links to the requisition for the user to view more details.
</t>
  </si>
  <si>
    <t>AI Agent: Purchase Order Status Advisor</t>
  </si>
  <si>
    <t>The Purchase Order Status Advisor agent provides buyers with easy access to the status and highlights of their purchase orders using an AI agent-based chat.
Your buyers can ask the agent about the status of a recent order or a specific order. The agent identifies the current approver for a pending order or the exception that caused the rejection. It also provides deep links to the order, allowing buyers to view or edit it.</t>
  </si>
  <si>
    <t>AI Agent: Procurement Policy Advisor</t>
  </si>
  <si>
    <t>The Procurement Policy Advisor agent provides users with seamless access to procurement policies, allowing them to ask questions about products and services while ordering what they need to get their jobs done.</t>
  </si>
  <si>
    <t>Ledger Agent for Agentic AI-Powered General Ledger Experience</t>
  </si>
  <si>
    <t>Proactively monitor balances, journals, and transactions to streamline finance operations using the Ledger Agent. With prompt-assisted monitoring, Ledger Agent provides clear AI-generated insights and explanations across Ledger and Subledger data, surfacing them to accountants only when intervention is required. Accountants can ask natural language questions about balances, variances, insights, and process statuses, and receive precise responses powered by advanced financial entity recognition and dynamic query generation-significantly improving efficiency and business insight into General Ledger processes.</t>
  </si>
  <si>
    <t>ERP</t>
  </si>
  <si>
    <t>Shiekh Muhammad Kashif</t>
  </si>
  <si>
    <t>Payments Agent for Payment Options, Offers, and Execution</t>
  </si>
  <si>
    <t>The Oracle Payments Agent transforms the payments process from a focus on just paying suppliers to using the outstanding payment information to evaluate payment options and benefits in light of working capital goals. The agent works with users to manage and optimize payment processing using conversational and insights-driven experiences. Using AI and integrated application capabilities, the Payments Agent supports users across the payment lifecycle, including evaluating payment options, generating supplier offers, guiding users through payment execution, and handling exceptions*. Real-time insights enable users to address potential issues early and strengthen operational oversight at every stage. The Payments Agent is composed of a set of dedicated, task-specific assistants. The Payment Options Assistant helps users evaluate payment opportunities, compare benefits across payment programs such as dynamic discounting, virtual credit cards, and supply chain financing, and assign the most suitable programs to transactions. The Supplier Offers Assistant supports the full lifecycle of dynamic discount offers, including drafting personalized offers, communicating with suppliers, and processing responses. The Payment Execution Assistant helps automate end-to-end supplier payment execution across multiple payment methods by applying compliance and fraud checks, monitoring acknowledgments and reconciliation, and identifying failures or delays to ensure accurate, secure, and auditable payment processing. In the current release, the Payment Options Assistant supports opportunity evaluation across dynamic discounting and virtual credit card payment programs. The Supplier Offers Assistant enables dynamic discount offer management, and the Payment Execution Assistant supports payment submission and scheduling using templates, payment run queries, and navigation to the Payables Payment landing page. Natural language insights help proactively resolve issues and improve operational control.</t>
  </si>
  <si>
    <t>Consumer-Facing AI</t>
  </si>
  <si>
    <t>Payables Agent for Invoice Ingestion, Compliance, and Control</t>
  </si>
  <si>
    <t>The Payables Agent delivers automation and best practices across the invoice lifecycle, enabling near-touchless processing. By reducing manual effort, organizations lower errors, improve efficiency, and allow teams to focus on strategic activities. Over time, Payables shifts from a cost center to a value-generating function through faster cycle times, early payment discounts, and reduced leakage via better exception management and anomaly detection.</t>
  </si>
  <si>
    <t>S2P Advisor Agent</t>
  </si>
  <si>
    <t>AI Agent to support external supplier to track the status of their relevant documsn e.g. Purchase Orders, Invoices &amp; Payment Statuses.</t>
  </si>
  <si>
    <t>Revenue Uplift</t>
  </si>
  <si>
    <t>ThirdEye</t>
  </si>
  <si>
    <t>ThirdEye is a geospatial intelligence platform that visualizes network coverage, live retailer devices, and real-time sales data on interactive geographical maps. It enables advanced analytics, including sales and revenue forecasting based on current and historical data. Through natural-language prompts and AI Models, users can generate customized dashboards in realtime on browser to monitor performance e.g. forecast sales and revenue, identify trends, predict customer churn, device analytics helping to achieve revenue and sales target.</t>
  </si>
  <si>
    <t>Retailer AI Assistant</t>
  </si>
  <si>
    <t>An AI-powered chatbot designed to support retailers with their day-to-day queries, many of which are currently handled only through IVR helplines. The solution enables retailers to interact with the application using either voice or text, receive instant assistance, and resolve common issues while on the move. By reducing reliance on call-centre support and manual intervention, it improves accessibility, response time, retailer experience, and operational efficiency.</t>
  </si>
  <si>
    <t>ZARR AI Assistant</t>
  </si>
  <si>
    <t>An AI-powered virtual assistant embedded within the ZARR website’s search bar that understands customer prompts and displays the most relevant products. The solution improves product discovery and sorting by presenting a diverse range of brands, reducing repetitive results from the same brand and enabling customers to compare more suitable options quickly and easily.</t>
  </si>
  <si>
    <t>Conversational IVR (Does not belong to anyone in tek/tech)</t>
  </si>
  <si>
    <t>AI based conversational bot that can interact directly with customer in place of human agent to serve customer as CC agent. Top 30 business use cases will be live in phase 1 on the conversational bot</t>
  </si>
  <si>
    <t>Virtual Assistant</t>
  </si>
  <si>
    <t>Develop a virtual assistant to support users to interact with documents more intuitively, quickly retrieving relevant information and providing actionable insights</t>
  </si>
  <si>
    <t xml:space="preserve">Valid </t>
  </si>
  <si>
    <t>Jazz Advance (GSM - Shahnawar/Aizaz or Aleem) 6th floor</t>
  </si>
  <si>
    <t>Build a Score Card model for subscribers, who avail Jazz advance, to control default rate and predict return behavior
The model is to replace existing vendor timwetech</t>
  </si>
  <si>
    <t>Enterprise Feature Store</t>
  </si>
  <si>
    <t>Build EFS to facilitate ADS building and model development for the stakeholders</t>
  </si>
  <si>
    <t>Churn Prediction</t>
  </si>
  <si>
    <t>Build / Revamp churn model for CVM with updated requirements and new features for optimized outputs</t>
  </si>
  <si>
    <t>Semi-void</t>
  </si>
  <si>
    <t>Teknosys</t>
  </si>
  <si>
    <t>Hassaan Bin Jalil</t>
  </si>
  <si>
    <t>4G Dormancy Model</t>
  </si>
  <si>
    <t>Identify potential base who are like to go dormant on 4G and to engage them proactively via CVM campaigns</t>
  </si>
  <si>
    <t>Void</t>
  </si>
  <si>
    <t>Merchant Channel Optimization</t>
  </si>
  <si>
    <t>Performance optimization of JazzCash retailers in different regions</t>
  </si>
  <si>
    <t>Churn Forecasting</t>
  </si>
  <si>
    <t>Utilizing data-driven insights to forecast customer churn and proactively implement targeted strategies aimed at retaining high-risk customers and improving overall customer retention</t>
  </si>
  <si>
    <t>Population Estimation</t>
  </si>
  <si>
    <t>Estimate Population within geographical boundaries on a ~1 km^2 granularity</t>
  </si>
  <si>
    <t xml:space="preserve">Amir Tasleem </t>
  </si>
  <si>
    <t>Amir Tasleem, Rehan</t>
  </si>
  <si>
    <t>ali khi wala</t>
  </si>
  <si>
    <t>Jazz Income score</t>
  </si>
  <si>
    <t>Segregate the base in relative Income groups given their property and handset values</t>
  </si>
  <si>
    <t>J4U (CVM)</t>
  </si>
  <si>
    <t>Machine Learning model for Product Recommendation for J4U platform</t>
  </si>
  <si>
    <t>Multiplay Analytics</t>
  </si>
  <si>
    <t>Identify potential base which can be converted to Multiplay and analyze existing multiplay base to improve base health</t>
  </si>
  <si>
    <t>Pricing and Discount Margins Optimization</t>
  </si>
  <si>
    <t>Build AI model to optimize pricing and margins for B2B products</t>
  </si>
  <si>
    <t>Subscriber Opportunity &amp; Risk</t>
  </si>
  <si>
    <t>Analyzing possible actions to be taken to enhance customer engagement based on 4 weeks behavior</t>
  </si>
  <si>
    <t>Tamasha Analytics</t>
  </si>
  <si>
    <t>GSM behavior mapping of Tamasha user for digital team and identification of potential target base</t>
  </si>
  <si>
    <t>AI based Network Capacity Enhancement</t>
  </si>
  <si>
    <t>Leveraging AI algorithms, Feature automatically adapts and modifies network configurations to enhance network capacity based on live network scenario in Real Time Once the capacity constraints are resolved, automated reversion to ensure maximum user experience</t>
  </si>
  <si>
    <t>AI Based Network OPEX Optimization - PowerStar</t>
  </si>
  <si>
    <t>A Comprehensive Matrix of user profile and   customer behavior made at sector level for each site This grid is updated   constantly based on regular input &amp; learning OPEX saving solutions   deployed based on AI A constant feedback loop ensures highest user   experience, incase of any degradation of change in user behavior, changes in   network are modified accordingly</t>
  </si>
  <si>
    <t>78,314,954 [PKR]</t>
  </si>
  <si>
    <t>Network Optimization – Extreme Automation</t>
  </si>
  <si>
    <t>Constant input of Network CM &amp; PM data  Pre defined thresholds and conditions inplace for constant monitoring of   Network KPIs Incase of a degradation or discrepancy in the network parameter set - automated detection along with RCA is shared Rectification changes are also implemented automatically Feedback loop ensures constant monitoring   Impact of changes also benchmarked automatically Auto reversion incase of a degradation</t>
  </si>
  <si>
    <t>542,348,887 [PKR]</t>
  </si>
  <si>
    <t>TR3</t>
  </si>
  <si>
    <t>Automated detection of traffic loss cases, Automated detection of Operational issues</t>
  </si>
  <si>
    <t>AIRA-1</t>
  </si>
  <si>
    <t>Automated detection of low throughput cases with AI-based root cause analysis and optimization solutions Feedback loop ensures issue resolution</t>
  </si>
  <si>
    <t>Samar Khan</t>
  </si>
  <si>
    <t>No</t>
  </si>
  <si>
    <t xml:space="preserve">AIRA-2 </t>
  </si>
  <si>
    <t>Detects and resolves Massive MIMO-related issues using AI-based root cause analysis and optimization Feedback mechanism ensures issue resolution is sustained</t>
  </si>
  <si>
    <t>PortAll (Garaj's consumer facing storage app)</t>
  </si>
  <si>
    <t>Suggest reels from synced images for users to share on social media platforms</t>
  </si>
  <si>
    <t>Inhouse Local cloud LLM Infrastructure Deployment</t>
  </si>
  <si>
    <t>Deployment of Llama 31 8B on AWS to enhance accessibility and security of using LLMs at Jazz via api</t>
  </si>
  <si>
    <t>GuideBot</t>
  </si>
  <si>
    <t>There are many parameters in the Network. Each parameter has detailed description, impact on network, multiple values, a recommended value is set in the network for best user experience. Users can question the bot for current setting, its description and its impact.</t>
  </si>
  <si>
    <t>Tech BOT</t>
  </si>
  <si>
    <t>TechBot is designed to identify
major issues and anomalies in network KPIs, and provides a basic root cause analysis (RCA) by comparing
current performance against historical trends and variations. Alongside issue identification, it generates
detailed insights and actionable recommendations, making network performance analysis accessible to a
broader set of users beyond specialized RAN engineers</t>
  </si>
  <si>
    <t>AI Based LTE Layer Balancing</t>
  </si>
  <si>
    <t>Identify underutilized bands/layers at sector level and fine tune parameters to maximize capacity and user experience</t>
  </si>
  <si>
    <t>Massive Mimo</t>
  </si>
  <si>
    <t>AI Antennas for Mobile Networks utilize artificial intelligence to optimize antenna configurations dynamically. They enhance network performance by adapting beamforming, tilt, and power levels in real-time, ensuring improved coverage, capacity, and user experience while reducing energy consumption</t>
  </si>
  <si>
    <t>AI Based Traffic supression prediction</t>
  </si>
  <si>
    <t>Smart algo to determine where there is more potential for traffic, but being suppressed due to external factors</t>
  </si>
  <si>
    <t>Automatic cell planning</t>
  </si>
  <si>
    <t>AI Based algorithms to identify and propose best network design based on interference matrix and user pattern</t>
  </si>
  <si>
    <t>Automatic frequency planning</t>
  </si>
  <si>
    <t>AI Based algorithms to identify and propose best FP for the network based on interference matrix and user pattern</t>
  </si>
  <si>
    <t>AI Based Fuel and Energy consumption forcasting</t>
  </si>
  <si>
    <t>AI-Based Fuel and Energy Consumption Forecasting leverages advanced AI models to predict energy and fuel needs for mobile towers. By analyzing historical usage trends, forecasted weather, and operational patterns, it ensures efficient resource allocation, minimizes wastage, and supports sustainable network operations.</t>
  </si>
  <si>
    <t>Consumer Lending</t>
  </si>
  <si>
    <t>Consumer lending AI model to identify the consumers and respective loan amount that they can repay within the due date.</t>
  </si>
  <si>
    <t>Contract AI Assistant</t>
  </si>
  <si>
    <t>AI contract assistant that surfaces the right terms on demand—self-serve, source-cited, and always current via SAP Ariba sync. Eliminates Legal/Procurement back-and-forth, lightens workload, and enables faster decisions with fewer delays for a smoother experience.</t>
  </si>
  <si>
    <t>Abduhu Khan &amp; Zaid Zaki</t>
  </si>
  <si>
    <t>Enterprise AI</t>
  </si>
  <si>
    <t>643.5 per month</t>
  </si>
  <si>
    <t>Completed</t>
  </si>
  <si>
    <t>AI Email</t>
  </si>
  <si>
    <t>Analyze customer sentiment in Email interactions with customer representatives to uncover levels of satisfaction and identify areas for improvement</t>
  </si>
  <si>
    <t>Jazz Virtual Assistant (Jazz Lumen)</t>
  </si>
  <si>
    <t>The virtual assistant will be used to answer customer's questions related to ~300 mobile bundles. It also fetches data from the complaints API so that users can track their complaint status. The assistant can easily be integrated into website/app.</t>
  </si>
  <si>
    <t>Site-bot</t>
  </si>
  <si>
    <t>Automatically fetches DB details of sites</t>
  </si>
  <si>
    <t>ISO-lytics</t>
  </si>
  <si>
    <t>Automated Initial Site Optimization for rollout projects</t>
  </si>
  <si>
    <t>Automated Interference Hunting</t>
  </si>
  <si>
    <t>Automatically detects external interference cases based on network trend</t>
  </si>
  <si>
    <t>Multiplay App Recommendation Engine</t>
  </si>
  <si>
    <t xml:space="preserve">Based on Network interactions and User Activity , Predict which sucbriber is likely to adopt the Jazz Local OTT (Tamasha,JazzCash ,GameNow ,Bajao) </t>
  </si>
  <si>
    <t>MM User Acquisition - FinCare based on Smart Decision</t>
  </si>
  <si>
    <t xml:space="preserve">Based on JazzCash Mobile Money User data , Smartcare Activity Data and Social &amp; business data . Predict which user can be target for the JazzCash.  </t>
  </si>
  <si>
    <t xml:space="preserve">AI Based Voice </t>
  </si>
  <si>
    <t>AI- based voice enhncement to have better MOS,voice clarity,backgroud noise calncelletion</t>
  </si>
  <si>
    <t>CEI+ trial scope for Lahore city</t>
  </si>
  <si>
    <t>Laid the foundation for closed-loop operations, allowing different network domains to work toward a common customer experience objective.
Improved management visibility through data-driven experience monitoring and faster service optimization.</t>
  </si>
  <si>
    <t>AI Predictive Maintenance (DME Storage)</t>
  </si>
  <si>
    <t xml:space="preserve">Predict failures before they happen. e.g
CPU prediction
Memory prediction
Disk failure 
</t>
  </si>
  <si>
    <t>AI Subscriber Behavior Analytics
(NWDAF)</t>
  </si>
  <si>
    <t xml:space="preserve">AI learn about subscriber behaviour like QoS,  Mobility, Roaming, Data usage, Applications in Use and Can apply diferent policies like Improve QoS, Continue data usage in case one bundle near to expire by suggestion new one etc </t>
  </si>
  <si>
    <t>AI Deep Packet Inspection (DPI)</t>
  </si>
  <si>
    <t>AI-enhanced Service Awareness (SA) uses machine learning and deep learning models to identify encrypted applications, VPNs and service types without relying solely on traditional DPI signatures. The solution automatically collects traffic samples, extracts multi-dimensional flow features (packet length, packet interval, flow distribution, behavioral patterns, TLS/QUIC characteristics, SNI, certificates and service characteristics), performs AI-based online model training and inference, and continuously updates protocol identification models. It enables high-accuracy application identification (&gt;95%), can perform uses cases like VPN detection &amp; blocking, tethering detection and control etc.</t>
  </si>
  <si>
    <t>Event Handling using AI</t>
  </si>
  <si>
    <t xml:space="preserve"> implemented an AI-powered Event Handling solution, using a Huawei proprietary platform, to manage
sudden, high-traffic-volume events such as cricket matches, cattle markets, and religious or political
gatherings. The platform automatically analyzes real-time network and capacity conditions in the event area as
demand surges. Rather than applying a single fixed response, the platform evaluates multiple available
network parameter adjustments and selects the tuning step best suited to relieving capacity pressure at that
moment, while minimizing impact on user experience. Once event-driven demand subsides, a closed, real-time
feedback loop automatically reverts the applied changes, returning the network to its standard configuration.</t>
  </si>
  <si>
    <t>Technology Mobile Networks</t>
  </si>
  <si>
    <t>AI Powered Outage &amp; Coverage Enhancement</t>
  </si>
  <si>
    <t xml:space="preserve"> implemented an agentic AI platform for Outage Detection and Coverage Enhancement, which
autonomously detects network outages and takes corrective action in real time. The platform ingests CM, PM,
and alarm data alongside a continuously maintained grid of network topology, traffic loading, and user
behavior patterns to identify outages as they occur. Acting as an autonomous agent, the platform
independently issues commands to network systems to perform Remote Electrical Tilt (RET) adjustments —
uptilting neighboring cells to compensate for the outage-affected coverage area, and downtilting as conditions
normalize — without requiring manual intervention.</t>
  </si>
  <si>
    <t>SMART – Service Monitoring, Analytics &amp; Reporting Tool</t>
  </si>
  <si>
    <t>Service Monitoring, Analytics &amp; Reporting Tool. An in-house AI-powered network intelligence
dashboard that autonomously monitors over 32,000 FTTS and IPRAN network links in real time, with AI
Predictive flagging and automated ETL data pipeline running every 15 minutes across all four network
domains. It categorizes the links in 3 types RED: Peak link utilization above 80% ORANGE: Peak link utilization
between 60-80% GREEN: Peak link utilization less than 60%</t>
  </si>
  <si>
    <t>Zuhair Anjum</t>
  </si>
  <si>
    <t>OPS Pilot</t>
  </si>
  <si>
    <t>built an AI-powered operations automation and customer intelligence system that continuously monitors
network customers and automatically predicts issues like churn risk and service degradation. In simple terms,
the system takes customer data (such as complaints, downtime, service type, and billing information) and uses
a machine learning model to predict which customers are likely to face problems or leave the service. It then
converts these predictions into actionable insights.</t>
  </si>
  <si>
    <t>Technology Performance and Service Assurance</t>
  </si>
  <si>
    <t>Saleet Rana</t>
  </si>
  <si>
    <t>AI Powered Energy Consumption Optimization &amp; OPEX Saving</t>
  </si>
  <si>
    <t xml:space="preserve"> implemented AI-powered Energy and OPEX Savings nationwide across its RAN network,
using Huawei's PowerStar solution as the underlying AI engine, with the deployment strategy, thresholds, and
operational guidelines designed and owned end-to-end by the Jazz RAN team. The system continuously ingests
network data (CM and PM counters) to build a behavioral usage grid for each site, identifying high- and
low-traffic intervals across the day. Based on this pattern recognition, it automatically shuts down underutilized
radio layers or carriers during low-demand periods, and powers them back up automatically when traffic
increases or any network KPI degrades — ensuring energy savings never come at the cost of customer
experience.</t>
  </si>
  <si>
    <t>AI Ops - Infra Operation</t>
  </si>
  <si>
    <t xml:space="preserve">Automated Incident Remediation: AI agents can preemptively identify potential failure 
and execute fixes for known issues without human intervention, such as restarting failing 
services, adding resources during traffic surges, or rolling back problematic deployments.
• Proactive Root Cause Analysis: Agents correlate data from logs, metrics, and traces to 
identify the likely cause of an issue and determine the best course of action, often reducing 
investigation time from hours to seconds .
• Self-Healing IT Systems: By continuously observing system signals, reasoning about the 
best action, and verifying the outcome, AI agents can resolve many issues automatically, 
shifting teams from reactive firefighting to proactive management </t>
  </si>
  <si>
    <t>Khalid S</t>
  </si>
  <si>
    <t>Hyper-automation RPA Pipeline (Trade Inventory)</t>
  </si>
  <si>
    <t>engineered an enterprise-grade Hyper-automation pipeline using Microsoft Power Automate Desktop and
Python to completely overhaul a massive data bottleneck. The solution processes 4 million records across
critical commercial inventories, including SIMs, Handsets, Connections, and Scratch cards</t>
  </si>
  <si>
    <t>Salman Tahir, Zain Arshad</t>
  </si>
  <si>
    <t>MMBL Credit Scoring</t>
  </si>
  <si>
    <t>Medium</t>
  </si>
  <si>
    <t>Gender Prediction Model (teknosys and usman and Raheem)</t>
  </si>
  <si>
    <t>Determine the gender of Jazz subscribers based on their GSM behavior</t>
  </si>
  <si>
    <t>Waqas Ur Rehman</t>
  </si>
  <si>
    <t>Call Center Analytics (teknosys - ramsha)</t>
  </si>
  <si>
    <t xml:space="preserve">Analyse Customer sentiment during interactions with call center representatives to gain valuable insights into customer satisfaction levels and identify areas for improvement </t>
  </si>
  <si>
    <t>J Score/TekScore</t>
  </si>
  <si>
    <t>Build credit scoring model for subscribers for micro lending and for revenue generation via Analytics as a Service</t>
  </si>
  <si>
    <t>High</t>
  </si>
  <si>
    <t>Multi Simmers identification (usman - teknosys)</t>
  </si>
  <si>
    <t>Identify subscribers across the Jazz base who have Jazz as their secondary SIM</t>
  </si>
  <si>
    <t>Smart Leads</t>
  </si>
  <si>
    <t>AI-Driven Lead Generation for Jazz Business via Social Media Listening is currently on hold due to the vendor's lack of readiness and will remain on hold until March 2025</t>
  </si>
  <si>
    <t>On Hold</t>
  </si>
  <si>
    <t>CRA</t>
  </si>
  <si>
    <t>AI-Powered Government Query Resolution</t>
  </si>
  <si>
    <t>Compliance</t>
  </si>
  <si>
    <t>Gift &amp; Hospitality Trend Analysis</t>
  </si>
  <si>
    <t>Reviews G&amp;H records to identify
spending trends, anomalies &amp;
policy compliance risks</t>
  </si>
  <si>
    <t>E&amp;C</t>
  </si>
  <si>
    <t>N/A for productivity cases</t>
  </si>
  <si>
    <t>TBD / shared by teknosys</t>
  </si>
  <si>
    <t>Low</t>
  </si>
  <si>
    <t>As long as internal control/process exists</t>
  </si>
  <si>
    <t>COI Disclosure Assistant</t>
  </si>
  <si>
    <t>Guides employees in refining
statements &amp; auto-classifies
disclosures as Actual or Potential</t>
  </si>
  <si>
    <t>Conflict of Interest Trend Analysis</t>
  </si>
  <si>
    <t>Analyses COI disclosures across the organisation,surfacing patterns &amp; anomalies</t>
  </si>
  <si>
    <t>Internal Audit</t>
  </si>
  <si>
    <t>Assure - AI augmented Continuous Controls Monitoring (CCM) Platform</t>
  </si>
  <si>
    <t>Jazz World’s Internal Audit function has designed and implemented Assure-X, an in-house, AI-augmented Continuous Controls Monitoring (CCM) platform. In the absence of comparable off-the-shelf solutions from leading international organization, Assure-X represents a purpose-built innovation tailored to the organization’s evolving risk profile. Developed on PHP and MySQL and deployed on a secure cloud environment, the platform is SOC-compliant and aligned with established cybersecurity standards, ensuring both scalability and resilience.
Assure-X redefines internal audit by transitioning from manual, script-intensive processes to an AI-enabled, user-configurable monitoring environment, enabling auditors to design and deploy control logic through intuitive interfaces without reliance on programming expertise. It incorporates automated KRI development, agile rule management, embedded benchmarking and real-time insights through interactive dashboards and conversational analytics. This transformation significantly reduces dependency on specialized technical resources, accelerates execution cycles and enhances the depth and reliability of assurance. More importantly, it enables a shift from periodic, retrospective reviews to a continuous, forward-looking assurance model that is scalable, data-driven, and responsive to emerging risks.</t>
  </si>
  <si>
    <t>Finance</t>
  </si>
  <si>
    <t>Tendering Assistant</t>
  </si>
  <si>
    <t>The tendering assistant Is aimed at bringing the power of generative AI into the entire procurement and evaluation process of JW procurement process by first empowering end-users to define SOW in a govered manner assisted with AI and then augmenting the AI functionalities into the overall evaluations and award recommendations.</t>
  </si>
  <si>
    <t>Asad Afzaal</t>
  </si>
  <si>
    <t>-</t>
  </si>
  <si>
    <t>Presentation studio</t>
  </si>
  <si>
    <t xml:space="preserve">Presentation studio provides the functionality of the frontier AI capabilities into a secured envrionment by enabling the users to generate on-brand presentations with deeply embedded AI capabilties. </t>
  </si>
  <si>
    <t>On going Opex</t>
  </si>
  <si>
    <t>$500</t>
  </si>
  <si>
    <t>48,000 hours @ 1000 users</t>
  </si>
  <si>
    <t>JASPER</t>
  </si>
  <si>
    <t>It serves as a financial intelligence platform aimed to introduce AI into Finance workflows. The application consists of 6 CFO surfaces and sits over the entire ledger of JW.</t>
  </si>
  <si>
    <t>Jarwis</t>
  </si>
  <si>
    <t>Jarwis is a secure AI Assistant aimed to protect the Jazz internal data while giving employees the access to the frontier AI models.</t>
  </si>
  <si>
    <t>$5000</t>
  </si>
  <si>
    <t>50,000 hours @ 1000 users</t>
  </si>
  <si>
    <t>ADAS</t>
  </si>
  <si>
    <t>Automated analytics to identify anomalies in subscriptions and VAS, minimizing revenue leakage and improving customer experience</t>
  </si>
  <si>
    <t>Atif Khan</t>
  </si>
  <si>
    <t>2000 houra / month (estimated)</t>
  </si>
  <si>
    <t>Airgapped</t>
  </si>
  <si>
    <t>Ongoing (benefit)</t>
  </si>
  <si>
    <t>FinBot</t>
  </si>
  <si>
    <t>FinBot is an enterprise-grade AI-powered financial intelligence platform developed for Jazz's finance
organization to transform how employees access, analyze, and manage contracts, agreements, and
procurement-related information. Traditionally, finance teams spent significant time searching through emails,
contract repositories, procurement systems, and historical agreements to answer business questions. FinBot
centralizes this process through a conversational AI experience that allows users to ask questions in natural
language and receive instant, context-aware answers.</t>
  </si>
  <si>
    <t>PKR 38.61M</t>
  </si>
  <si>
    <t>1222.54 per month</t>
  </si>
  <si>
    <t>TaxAI (Junaid Hashmi)</t>
  </si>
  <si>
    <t>ETL Pipeline to transform unstructured and poorly scanned data to a structured data. TaxAI to upload tax/legal notices, perform OCR, clean extracted text using LLM, extract structured tax litigation fields, map extracted values to Tax Litigation LOVs, store notice records, and enable semantic search/RAG over indexed notices.</t>
  </si>
  <si>
    <t>BOLT</t>
  </si>
  <si>
    <t>Duties and tax calculator designed for supply chain</t>
  </si>
  <si>
    <t>Internal Operations</t>
  </si>
  <si>
    <t>PKR 3 million</t>
  </si>
  <si>
    <t>$150 per month</t>
  </si>
  <si>
    <t>JLV</t>
  </si>
  <si>
    <t>Tamasha Women Channel</t>
  </si>
  <si>
    <t>24/7 AI Channel that features avatar podcasts and educational videos focused on women’s rights, financial literacy, and representation in STEM.</t>
  </si>
  <si>
    <t>Digital Solutions And Innovation</t>
  </si>
  <si>
    <t>Ivan Williams</t>
  </si>
  <si>
    <t>9000 USD</t>
  </si>
  <si>
    <t>SIA Buddy</t>
  </si>
  <si>
    <t xml:space="preserve">Fine-tuning and deployment of GPT OSS to serve as an AI assistant. The Assistant will be able to handle sports and entertainment-related queries.Also help with in-app subscriptions. </t>
  </si>
  <si>
    <t>12000 USD</t>
  </si>
  <si>
    <t>AI Based Voice Search</t>
  </si>
  <si>
    <t xml:space="preserve">Utilizing Vector-based search, along with speech to text conversion via Whisper-Large Model. The search will also integrate a speciaized LLM (llama 3.1 8B) for enhancing user experience with search results. </t>
  </si>
  <si>
    <t>Dgital Solutions &amp; Engineering Team</t>
  </si>
  <si>
    <t>15000 USD</t>
  </si>
  <si>
    <t>SIMOSA Chaat - V2 (SIA)</t>
  </si>
  <si>
    <t>Fine-tuning of existing Llama 31 8B (4-bit quantized), along with GPT OSS.  AI assistant, and integration with Super Office for streamlining Customer Complaints Management</t>
  </si>
  <si>
    <t>8000 USD</t>
  </si>
  <si>
    <t>Tamasha Recommendation Engine (Tamasha Reels)</t>
  </si>
  <si>
    <t>Uses machine learning for personalization of reels(short form content) on tamasha. The model will be trained on user's in-app preferences and watch history</t>
  </si>
  <si>
    <t>N/A</t>
  </si>
  <si>
    <t>Tamasha Recommendation Engine</t>
  </si>
  <si>
    <t>uses machine learning for personalized content suggestions, evolving from content-based to user profile-based recommendations</t>
  </si>
  <si>
    <t>10000 USD</t>
  </si>
  <si>
    <t>SIMOSA Chaat</t>
  </si>
  <si>
    <t>Fine-tuning and deployment of Llama 31 8B (4-bit quantized) to serve as an AI assistant, revolutionizing the experience for SIMOSA's 18 million users Powered by a RAG pipeline, it ensures dynamic knowledge updates and streamlines complaint creation for enhanced user support</t>
  </si>
  <si>
    <t>200 USD</t>
  </si>
  <si>
    <t>Magic Bundle</t>
  </si>
  <si>
    <t>Recommend bundle offers based on the customer's selected choices</t>
  </si>
  <si>
    <t>1000 USD</t>
  </si>
  <si>
    <t>Fikrfree AI based policy recommendations</t>
  </si>
  <si>
    <t>Leverages AI technology to provide highly personalized policy recommendations tailored to individual needs. This integration enables the platform to analyze real-time data on human events, such as changes in lifestyle, health conditions, or milestones to proactively suggest suitable insurance policies.</t>
  </si>
  <si>
    <t>FIKRFREE</t>
  </si>
  <si>
    <t>Hafiz Bilal / Teknosys</t>
  </si>
  <si>
    <t>$30,000 / year</t>
  </si>
  <si>
    <t xml:space="preserve">Fikrfree AI Chatbot </t>
  </si>
  <si>
    <t>FikrFree's chatbot was launched in Beta on hard-coded, rule-based logic. It is now fully generative,  powered by LLMs and Generative AI,  enabling end-to-end policy purchase, claims, upselling, and cross-selling, with voice-to-text and image-to-text support, and real-time, context-driven personalized recommendations in place of static responses.</t>
  </si>
  <si>
    <t xml:space="preserve">WIP </t>
  </si>
  <si>
    <t>Fikrfree AI based doctor consultations</t>
  </si>
  <si>
    <t>AI-powered doctor consultation system that provides users with instant medical advice based on symptoms, medical history, and AI-driven diagnostics. The system utilizes NLP and machine learning to assess user inputs, recommend potential conditions, and suggest next steps, including connecting with healthcare professionals when needed</t>
  </si>
  <si>
    <t>APNACLINIC</t>
  </si>
  <si>
    <t>Ahmad Hassan Malik / Teknosys</t>
  </si>
  <si>
    <t>Social Plus Personalization Engine</t>
  </si>
  <si>
    <t>Generate personalized feeds for Social Plus Platform using user preferences, collaborative filtering, and in-app interactions</t>
  </si>
  <si>
    <t>Customer Experience</t>
  </si>
  <si>
    <t>Tamasha Stream Monitoring</t>
  </si>
  <si>
    <t>24/7 Monitoring of live streams, and gauging QoE using Agentic AI and video analysis</t>
  </si>
  <si>
    <t>100 USD</t>
  </si>
  <si>
    <t>AI Micro Dramas</t>
  </si>
  <si>
    <t>Micro-Dramas created using Generative AI. AI native content creation pipelineincluding: Scripts, Avatars, Background, Avatar movement, and TTS. Performed using ensemble of LLMs</t>
  </si>
  <si>
    <t>4300 USD</t>
  </si>
  <si>
    <t>Legal</t>
  </si>
  <si>
    <t>Data Guard</t>
  </si>
  <si>
    <t>Secure solution that masks confidential and sensitive entities before data is sent to an LLM.</t>
  </si>
  <si>
    <t>LEGAL</t>
  </si>
  <si>
    <t>Legal Affairs</t>
  </si>
  <si>
    <t>Khizer Ali Khan</t>
  </si>
  <si>
    <t>P&amp;O</t>
  </si>
  <si>
    <t>Comp Wizard</t>
  </si>
  <si>
    <t>Provides salary and compensation breakdown for hiring candidates, optimizing decision-making in the recruitment process</t>
  </si>
  <si>
    <t>Employee Churn Prediction</t>
  </si>
  <si>
    <t>Predicts employee churn based on HR-level features, saving costs and time associated with hiring replacements</t>
  </si>
  <si>
    <t>People BOT V1</t>
  </si>
  <si>
    <t>Advanced chatbot leveraging generative AI to handle HR queries, reducing manual response times from days to seconds</t>
  </si>
  <si>
    <t>People Analytics BOT V2</t>
  </si>
  <si>
    <t>Enhances data query handling for HR, providing quick and accurate responses about organizational metrics such as headcount, hirings and churn</t>
  </si>
  <si>
    <t>Jazz Nexus</t>
  </si>
  <si>
    <t>AI-driven tool for shortlisting candidates from platforms, reducing time-to-hire by matching job requirements with candidate skills</t>
  </si>
  <si>
    <t>Contract and Scoping Assistant</t>
  </si>
  <si>
    <t>Use Case from our procurement team helping them with creating contract scoping documents on the go based on input data from various users across the organization.</t>
  </si>
  <si>
    <t>AI Performance Coach</t>
  </si>
  <si>
    <t>AI driven employee profiling based on performance feedback, competencies marking and employee learnings it will share the strengths and weaknesses and a roadmap to employee success.</t>
  </si>
  <si>
    <t>$ 175,000 (Savings)</t>
  </si>
  <si>
    <t>$1000 per month</t>
  </si>
  <si>
    <t>40 hours / week</t>
  </si>
  <si>
    <t>People Analyzer BOT V3</t>
  </si>
  <si>
    <t>Internal analyzer BOT which will help to summarise and provide insights based on the document / excel file provided, this will help keep our data secure and within Jazz.</t>
  </si>
  <si>
    <t xml:space="preserve">Smartify </t>
  </si>
  <si>
    <t>The SMART Goal Evaluator API transforms vague goal statements into clear, structured SMART goals using GENAI. It ensures goals are Specific, Measurable, Achievable, Relevant, and Time-bound without storing chat history Users can submit a goal statement and choose between generating a new SMART goal or refining a previously suggested one. If the user is unsatisfied with the output, they can request a revised version for better clarity and alignment. This process streamlines goal-setting, saving time and ensuring measurable and strategic objectives. By integrating this API, organizations can enhance productivity, improve goal clarity, and align objectives with business priorities. Deploying this within HR, performance management, and strategy teams can optimize goal execution and drive better outcomes.</t>
  </si>
  <si>
    <t>AI Assessment &amp; grading tool</t>
  </si>
  <si>
    <t>The purpose of this tool is to assess AI based functional competencies of employees throughout the organization irrespective of their division in order to foster AI ased learning among employees.</t>
  </si>
  <si>
    <t xml:space="preserve">P&amp;O </t>
  </si>
  <si>
    <t>$ 10,000 (savings)</t>
  </si>
  <si>
    <t>$50 per month</t>
  </si>
  <si>
    <t>3 hours / per session</t>
  </si>
  <si>
    <t>Oct</t>
  </si>
  <si>
    <t>AI Awards Portal</t>
  </si>
  <si>
    <t>The purpose of this tool is to record AI based submissions in the portal and help C-level view the AI based evaluation of the products.</t>
  </si>
  <si>
    <t>Operational Efficiency</t>
  </si>
  <si>
    <t>20 hours / month</t>
  </si>
  <si>
    <t>Sept</t>
  </si>
  <si>
    <t>Automated Learning Dashboard</t>
  </si>
  <si>
    <t>The purpose of this tool is to do per and post assessment of an employee based on their functional competencies assigned by HR and it also recommends courses, certifications etc and provides a cululative insight</t>
  </si>
  <si>
    <t>15 hours / week</t>
  </si>
  <si>
    <t>AI-Powered LXP</t>
  </si>
  <si>
    <t>Multi-tenant learning platform that identifies employee competency gaps based on role frameworks and provides personalised learning and coaching plans. Also serves as a single access point for Coursera and Udemy courses.</t>
  </si>
  <si>
    <t>Dec</t>
  </si>
  <si>
    <t>Onboarding Buddy</t>
  </si>
  <si>
    <t>Agentic employee onboarding platform providing interactive e-learning, onboardin workflows, induction binders, multilingual 24/7 support, HR automation and document verification</t>
  </si>
  <si>
    <t>PKR 1 million</t>
  </si>
  <si>
    <t>$800 per month</t>
  </si>
  <si>
    <t xml:space="preserve">Completed </t>
  </si>
  <si>
    <t>CEO Avatar</t>
  </si>
  <si>
    <t>CEO Avatar of Amir Ibrahim</t>
  </si>
  <si>
    <t>$700 per month</t>
  </si>
  <si>
    <t>Compelted</t>
  </si>
  <si>
    <t>AI Native HR System</t>
  </si>
  <si>
    <t>Transforming the entire HR function into a multi-agentic AI system</t>
  </si>
  <si>
    <t>Culture Quotient</t>
  </si>
  <si>
    <t xml:space="preserve">Assessment platform that evaluates the cultural fit of candidates across JazzWorld and VEON Opcos based on VEON principles </t>
  </si>
  <si>
    <t>$250 per month</t>
  </si>
  <si>
    <t>Strategy</t>
  </si>
  <si>
    <t>QualVibe (Consumer Insights GPT)</t>
  </si>
  <si>
    <t>Jazz does a lot of consumer research including both qualitative and quantitative studies. In terms of volume, about 70% of our studies are qualitative including In-depth interviews and Focus-groups with consumers, including both Jazz and competition. Most of this research is adhoc and take short to medium term view of a business problem. Imagine a tool which ingest the audio files from qualitative interaction, transcribe them, analyze them and provide deep and actionable insights in less than 24 hours. This tool will also serve as a knowledge respository for both the CI team and end users including segments, marketing and digital team. With all studies analyzed and placed in 'one-window', it will serve as holistics consumer perspective in short, medium and long term, tracking evolution of consumers in telecom industry. Stakeholders don't have to reach out to CI for response to their questions, they can simply access relevant studies, 'chat' with these studies and take decisions on the go - adding consumer perspective to every decision they make.</t>
  </si>
  <si>
    <t>GSM</t>
  </si>
  <si>
    <t>Digital-Inclusion Impact Mapping</t>
  </si>
  <si>
    <t>Uses population/income geo-layers to pinpoint highest-impact underserved communities, supporting site targeting and the social-mandate narrative.</t>
  </si>
  <si>
    <t>Subsidy &amp; Revenue Forecasting</t>
  </si>
  <si>
    <t>ML forecasts uptake, ARPU and revenue for a lot to optimise the subsidy ask and strengthen the business case.</t>
  </si>
  <si>
    <t>Site &amp; Mauza Prioritization (Geo-AI)</t>
  </si>
  <si>
    <t>Ranks candidate sites/mauzas in a lot by population, terrain, coverage gap and subsidy efficiency to sharpen RAN planning and the bid coverage story.</t>
  </si>
  <si>
    <t>USF Bid &amp; Compliance Assistant</t>
  </si>
  <si>
    <t>GenAI reads the USF RFA/tender, maps clauses to the Annex-5 compliance sheet, flags gaps and drafts technical-proposal, network-description and tariff sections.</t>
  </si>
  <si>
    <t>App-install / registration propensity</t>
  </si>
  <si>
    <t>Identifies subscribers most likely to install and register on JazzWorld, helping grow the digital user base efficiently.</t>
  </si>
  <si>
    <t>Jazz Consumer Growth</t>
  </si>
  <si>
    <t>Aleem Uddin/Shanawar Burhan</t>
  </si>
  <si>
    <t>Dormancy / inactivity early-warning</t>
  </si>
  <si>
    <t>Detects declining usage early — while a well-timed reminder or offer can still re-engage the customer.</t>
  </si>
  <si>
    <t>Cluster Level Traffic FCST</t>
  </si>
  <si>
    <t>Forecasts traffic for each network cluster using local history, monthly trends, event impacts and customer movement between clusters. It predicts the active base, data users, 4G users and total traffic.</t>
  </si>
  <si>
    <t>Ahmed Altaf</t>
  </si>
  <si>
    <t>USD 200</t>
  </si>
  <si>
    <t>Revenue &amp; Recharge FCST (FID Level)</t>
  </si>
  <si>
    <t>Forecasts daily revenue and recharge for each FID. Its Locked vs. Rolling approach corrects the forecast each day without overreacting and also helps reconcile the NWD forecast.</t>
  </si>
  <si>
    <t>Churn Prediction Model</t>
  </si>
  <si>
    <t xml:space="preserve">	Identifies customers at risk of leaving in time to intervene with a retention offer before they churn.</t>
  </si>
  <si>
    <t>Fake Sale Identification</t>
  </si>
  <si>
    <t xml:space="preserve">	Flags newly sold SIMs unlikely to activate, enabling targeted follow-up on sales at risk of never becoming genuine connections.</t>
  </si>
  <si>
    <t>Quality of Sale</t>
  </si>
  <si>
    <t>Predicts the share of newly acquired customers likely to remain active after three months, providing an early read on acquisition quality.</t>
  </si>
  <si>
    <t>Micro-loan / BNPL credit scoring</t>
  </si>
  <si>
    <t>Leverages mobile and wallet activity to identify customers who can safely access small loans or BNPL credit, widening access while keeping risk controlled.</t>
  </si>
  <si>
    <t>Context Aware Hyper-Personalization</t>
  </si>
  <si>
    <t>Uses each customer’s real-time behavior, needs and preferences to provide personalized advice, alerts and automated support, including bill insights, roaming help, relevant offers and credit optimization.</t>
  </si>
  <si>
    <t>Habiba Waseem/Sar Agha</t>
  </si>
  <si>
    <t>Postpay AI Chatbot (Simosa)</t>
  </si>
  <si>
    <t>An AI assistant in the SIMOSA app that lets Postpay users ask questions, find services and complete tasks through normal conversation. Phase 1 provides information and support; later phases will also complete transactions automatically.</t>
  </si>
  <si>
    <t>Revenue &amp; Recharge FCST (NWD)</t>
  </si>
  <si>
    <t>Uses more than six years of data to forecast daily revenue by learning growth trends, weekly patterns and event impacts. Its Locked vs. Rolling approach updates the forecast daily without overreacting.</t>
  </si>
  <si>
    <t>964 App NBO Suggestion (Retail App)</t>
  </si>
  <si>
    <t>When a retailer enters a customer’s number in the 964 App, AI recommends the best offer and suitable commission, built on NBO engine</t>
  </si>
  <si>
    <t>Haroon Tahir</t>
  </si>
  <si>
    <t>Retail Intelligence Dashboard</t>
  </si>
  <si>
    <t>Recommends the top three offers each retailer should sell in their area. Built on the NBO Engine</t>
  </si>
  <si>
    <t>Muhammad Fahad Farooq</t>
  </si>
  <si>
    <t>Family/Group Detection</t>
  </si>
  <si>
    <t>Identifies households and close groups that may benefit from a shared plan, helping build higher-value multi-line accounts.</t>
  </si>
  <si>
    <t>Cross-sell propensity (add-ons, roaming, VAS)</t>
  </si>
  <si>
    <t>Predicts which customers are likely to purchase add-ons, so each receives relevant extras rather than a one-size-fits-all offer.</t>
  </si>
  <si>
    <t>Business Planning Activity</t>
  </si>
  <si>
    <t>Combines key KPIs such as MAUs, Gross Adds and Net Adds to forecast monthly performance and annual business targets from the bottom up.</t>
  </si>
  <si>
    <t>Willingness to pay propensity</t>
  </si>
  <si>
    <t>Identifies customers whose spend is likely to rise in response to an offer, growing revenue while minimizing elasticities.</t>
  </si>
  <si>
    <t>Handset Upgrade propensity model</t>
  </si>
  <si>
    <t>The model Identifies customers most likely to upgrade handsets</t>
  </si>
  <si>
    <t>Bilal Arshad</t>
  </si>
  <si>
    <t>Upselling Algorithm</t>
  </si>
  <si>
    <t>Identifies customers who need a larger bundle and recommends an upgrade based on profile history.</t>
  </si>
  <si>
    <t>Next-best-offer (voice/SMS/data bundles)</t>
  </si>
  <si>
    <t>Recommends the optimal bundle for each customer at the right moment, built on behavioral clustering to lift conversion and revenue per user.</t>
  </si>
  <si>
    <t>AI Powered Smart Analyst</t>
  </si>
  <si>
    <t>A secure bilingual assistant that answers data questions in simple language and helps teams make decisions in under a minute.</t>
  </si>
  <si>
    <t>Bilal Arshad/ Nabeel Qureshi</t>
  </si>
  <si>
    <t>USD 210</t>
  </si>
  <si>
    <t>Research-Driven Customer Personas</t>
  </si>
  <si>
    <t>Layers primary market research onto behavioral segments to define lifestyle-based personas, giving each cluster a clear identity for targeting.</t>
  </si>
  <si>
    <t>Behavioral Base Segmentation</t>
  </si>
  <si>
    <t>Applies k-means clustering (ML model) across 58 behavioral variables (spanning from GSM to digital) to segment the Jazz customer base into distinct, actionable groups.</t>
  </si>
  <si>
    <t>ROX AI-Driven Video Personalization Campaign</t>
  </si>
  <si>
    <t>Leveraged machine learning algorithms to dynamically generate over 300 situation-specific video versions from a single base video featuring a popular music celebrity This solution utilized natural language processing (NLP) and computer vision to customize content, ensuring optimal targeting for Instagram, Facebook, and YouTube</t>
  </si>
  <si>
    <t>ROXGPT, an AI-powered digital companion within the ROX app</t>
  </si>
  <si>
    <t>"**ROXGPT – AI-Powered Digital Companion within the ROX App**
ROXGPT is an AI-powered conversational digital companion embedded within the ROX app, designed to transform customer support and engagement through intelligent, contextual and personalized interactions. It combines ROX’s proprietary product and service knowledge base with Large Language Models (LLMs) to deliver accurate, natural-language responses and help users discover, understand and navigate the ROX digital lifestyle ecosystem in real time.
**Core Capabilities:**
* **Multimodal AI:** Enables users to interact through both text and voice, creating a seamless and intuitive conversational experience.
* **Knowledge Fusion:** Combines structured ROX product and service data with LLM-based intelligence to provide product-specific answers while contextualizing them within the broader digital ecosystem.
* **Contextual &amp; Personalized Engagement:** Uses conversational context and user intelligence to provide more relevant responses and improve self-service resolution and customer experience.
* **Real-Time Assistance:** Helps users understand packages, features, services, offers and digital lifestyle propositions, reducing dependency on traditional customer support channels.
**Evolution:**
ROXGPT is being evolved from a functional AI support assistant into an engaging digital companion, including an animated avatar experience that adds personality, interactivity and emotional connection to conversations. This evolution positions ROXGPT as a key enabler in ROX’s ambition to move beyond traditional telecom services and create a truly AI-powered digital lifestyle experience."</t>
  </si>
  <si>
    <t>PKR 1.2 million / month estimated</t>
  </si>
  <si>
    <t>Tamasha Buddy</t>
  </si>
  <si>
    <t xml:space="preserve">Fine-tuning and deployment of Llama 3.1 8B to serve as an AI assistant. The Assistant will be able to handle sports and entertainment-related queries. </t>
  </si>
  <si>
    <t>KMS Chatbot</t>
  </si>
  <si>
    <t>KMS Chatbot to answer agents queries based on Gen AI, The approach is to sync AI model with all the available products, offers and complaints handling data to deliver the most informed decision to agent</t>
  </si>
  <si>
    <t>AI-Based Call Routing at Contact Center</t>
  </si>
  <si>
    <t>An AI based call routing solution at Contact center. The objective is to route customer call to the best available agent that can handle the customer queries with efficiency resulting in a better Customer Experience and increase in revenue.</t>
  </si>
  <si>
    <t>Local, auditable AI-assisted decision platform for Universal Service Fund (USF) bids. It reads the RFA and Annex/Schedule pack into a requirements register, analyses the  neighbourhood around every mandatory mauza, sizes the minimum site plan, builds the business case and Bid/No-Bid recommendation, and refreshes the executive portfolio dashboard — all on Jazz infrastructure, under named human approval gates.</t>
  </si>
  <si>
    <t>A single application running entirely inside Jazz, with no RFA, Annex-C or commercial data leaving the network and no public AI service anywhere in the path. Three capabilities sit behind one natural-language interface:</t>
  </si>
  <si>
    <t>Strategic Projects — USF Programme</t>
  </si>
  <si>
    <t>Farhan Ali</t>
  </si>
  <si>
    <t>Internal (non-customer-facing) —  USF bidding and rural network rollout</t>
  </si>
  <si>
    <t>Productivity, Reduction in bid cycle time and analyst effort.</t>
  </si>
  <si>
    <t>800-2000</t>
  </si>
  <si>
    <t xml:space="preserve">In Progress </t>
  </si>
  <si>
    <t>BLU - A 360 degree marketing platform</t>
  </si>
  <si>
    <t xml:space="preserve">Blu is an end-to-end AI marketing platform that combines 17 autonomous marketing and media agents into an assmebly line designed to replicate the entire marketing process that bring our campaign timeline from 33 days to 330 minutes. </t>
  </si>
  <si>
    <t>Brand Experience</t>
  </si>
  <si>
    <t>Shayan Sikander</t>
  </si>
  <si>
    <t>Corporate AI (Efficiency)</t>
  </si>
  <si>
    <t>Approx 1200 USD</t>
  </si>
  <si>
    <t>2000 (6 hours a day)</t>
  </si>
  <si>
    <t>GSM Base Segmentation</t>
  </si>
  <si>
    <t>Segmentation of Jazz base via ML Model to identify user behavior around digital apps, 4G and voice which will lead to design more precise bundles for the subscribers</t>
  </si>
  <si>
    <t>CX RPA Automation (Balance not Updated)</t>
  </si>
  <si>
    <t>RPA Solution that automatically responds to customer queries related to balance not updated through SIMOSA, operating 24/7</t>
  </si>
  <si>
    <t>$100 per month</t>
  </si>
  <si>
    <t>runs 24/7</t>
  </si>
  <si>
    <t>JazzCash</t>
  </si>
  <si>
    <t>Hyper-Personalization</t>
  </si>
  <si>
    <t>Segment of 1 Hyper-Personalization engine used to drive engagement and uplift revenue for JazzCash</t>
  </si>
  <si>
    <t>JazzCash BNPL (Yeylo)</t>
  </si>
  <si>
    <t xml:space="preserve">
A Buy Now, Pay Later product which operates on PGW (online) and in-store via QR allowing customers to split their purchase in instalments
</t>
  </si>
  <si>
    <t>JazzCash DFS</t>
  </si>
  <si>
    <t>Faizan Samad</t>
  </si>
  <si>
    <t>NA</t>
  </si>
  <si>
    <t>Raast Transaction Tagging</t>
  </si>
  <si>
    <t>Hassan Ikram</t>
  </si>
  <si>
    <t>Scoping</t>
  </si>
  <si>
    <t>Whatsapp Channel Phase 2 (Gen AI integration - exploration)</t>
  </si>
  <si>
    <t>AI based conversational bot that can interact directly with customer in place of human agent to serve customer as CC agent. Top 30 business use cases will be live in phase 1 on the conversational bot + Top 5 use cases for finanacial Transactions will be added</t>
  </si>
  <si>
    <t>Nadeem Afzal</t>
  </si>
  <si>
    <t>AI based Call Center Quality to cover 100% calls, emails, social media Assurance (Pilot) </t>
  </si>
  <si>
    <t>AI tool will listen the call and perform end to end evaluation. In phase 1 it will only evaluate behavior. Phase 1 has been implemented and now tool is evaluating the calls. Optimization is in process to increase the capacity of daily evaluation to ensure 100% coverage. In phase 2, tool will be incorporated with the system and KMS to evaluate the process compliance, system usage and complaint handling as well</t>
  </si>
  <si>
    <t>Consumer-Facing AI (customer care)</t>
  </si>
  <si>
    <t>RAAST Money transfer status  (Led by JC Tech)</t>
  </si>
  <si>
    <t xml:space="preserve">JazzCash Consumer Lending:Risk Assessment </t>
  </si>
  <si>
    <t>Develops customer risk boundaries to predict repayment propensity and optimize lending strategies</t>
  </si>
  <si>
    <t>Whispr</t>
  </si>
  <si>
    <t>Social listening platform that monitors the rband and competitors, with agentic capabilities to automatically respond to customer complaints.</t>
  </si>
  <si>
    <t>PKR 35 million</t>
  </si>
  <si>
    <t>$2000 per month</t>
  </si>
  <si>
    <t>MMBL</t>
  </si>
  <si>
    <t>Risk Policy Chatbot</t>
  </si>
  <si>
    <t>RAG-based chatbot that instantly answers staff questions from 170+ internal policies/circulars, replacing manual document searches.</t>
  </si>
  <si>
    <t xml:space="preserve">P&amp;O Chatbot </t>
  </si>
  <si>
    <t>24/7 GenAI assistant that answers employee queries on HR policies, benefits, and recruitment status.</t>
  </si>
  <si>
    <t>AI-Driven Resume Parsing &amp; Smart Application Portal</t>
  </si>
  <si>
    <t>OTP-based application portal that auto-extracts resume/LinkedIn data to fill forms and speed up candidate screening.</t>
  </si>
  <si>
    <t>Aleena Tanvir</t>
  </si>
  <si>
    <t>Productivity, Cost Reduction</t>
  </si>
  <si>
    <t>TBD</t>
  </si>
  <si>
    <t>Customer Segmentation</t>
  </si>
  <si>
    <t>Unsupervised ML model that clusters MMBL's customer base into behavioural segments for personalised marketing and product targeting.</t>
  </si>
  <si>
    <t>DFS</t>
  </si>
  <si>
    <t>Areesa Masood</t>
  </si>
  <si>
    <t xml:space="preserve">Customer Experience , Revenue Uplift, Productivity , Cost Reduction </t>
  </si>
  <si>
    <t xml:space="preserve">MMBL Credit Scoring Model	</t>
  </si>
  <si>
    <t>AI-based scoring model to assess creditworthiness of MMBL customers based on transaction data, repayment history, and behavioral insights. Provides portfolio performance tracking, disbursement trends, and payback monitoring via an interactive dashboard</t>
  </si>
  <si>
    <t>Risk/Credit</t>
  </si>
  <si>
    <t>Taimur Farid</t>
  </si>
  <si>
    <t>Revenue Uplift and NPL reduction</t>
  </si>
  <si>
    <t>Merchant whitelisting and AI based Limits</t>
  </si>
  <si>
    <t xml:space="preserve">1 million merchants in VEON ecosystem to be whitelisted and assigned with credit limits through AI, with personalised offers. Potential of PKR xxx Billion in GLP based on propensity.  </t>
  </si>
  <si>
    <t>CyberSecurity</t>
  </si>
  <si>
    <t>AI-Powered L1 Support Bot for IAM/PAM Operations</t>
  </si>
  <si>
    <t>One AI portal to triage, resolve, and escalate IAM/PAM support requests automatically—reducing L1 dependency and speeding up resolution times.</t>
  </si>
  <si>
    <t>Cybersecurity</t>
  </si>
  <si>
    <t>Productivity/Cost Reduction</t>
  </si>
  <si>
    <t>Enterprise</t>
  </si>
  <si>
    <t>BidsFlow: AI-Powered B2B/B2G Proposal Management &amp; Governance Platform</t>
  </si>
  <si>
    <t>Enterprise-grade AI platform automating end-to-end B2B and B2G proposal management for 100+ monthly corporate and public-sector RFPs. Features Intelligent Document Processing (IDP) for RFP clause extraction and BOQ parsing, auto-drafts compliance narratives via authenticated corporate solution vaults, and enforces stage-gated governance integrated with ServiceNow and Microsoft Outlook M365 with strict ISG controls.</t>
  </si>
  <si>
    <t>Zeeshan Mustafa (Head of Bids) / Enterprise Solutions</t>
  </si>
  <si>
    <t>None / Internal effort to date</t>
  </si>
  <si>
    <t>Matcha AI CRM: AI-Native Revenue Intelligence &amp; Frontline Sales Enablement Platform</t>
  </si>
  <si>
    <t>AI-native enterprise CRM and revenue intelligence platform for Jazz Enterprise Solutions. Features trained ML Core (predictive deal win probability, causal discount optimization, 90-day churn risk, next-best-action, whitespace cross-sell), frontline JBC micro-tools (1-Click KYC/SAF OCR, WhatsApp rate calculator, voice debrief), automated Contract Generator bridge, 19,842-node network capacity intelligence, and departmental SOP RAG control plane. Currently under active development and internal testing; platform not yet live deployed.</t>
  </si>
  <si>
    <t>Zeeshan Mustafa / Enterprise Solutions &amp; CRM Engineering</t>
  </si>
  <si>
    <t>Whiz: Multi-Tenant Enterprise AI Platform &amp; Web Agent Harness (JazzWorld AI)</t>
  </si>
  <si>
    <t>Multi-tenant enterprise AI SaaS chat and web agent harness platform built for Pakistani enterprise clients (BFSI, Telco, Enterprise). Features LiteLLM multi-provider model routing, typed event protocol (whiz.v1), org-level tenancy, granular RBAC, token economics &amp; credit budgeting, and custom organizational agent personas. Fully developed and deployed on Garaj cloud infrastructure; currently under active testing and enterprise billing integration.</t>
  </si>
  <si>
    <t>Zeeshan Mustafa / Enterprise AI Platform Team</t>
  </si>
  <si>
    <t>ProcessHub: Centralized Policy &amp; Process Knowledge Management Platform</t>
  </si>
  <si>
    <t>Muhammad Qarib / Sanabil Tanveer</t>
  </si>
  <si>
    <t>Commision Chatbot: Role-Based AI Commission Query Agent (ProcessHub)</t>
  </si>
  <si>
    <t>Designing and building an AI-powered chatbot giving sales teams and managers natural-language access to their commission, sales, and target data. Commission data from multiple Excel sources is consolidated into SQL Server via an automated ETL pipeline; an AI agent translates user questions into predefined data lookups, with role-based access enforced at the database layer so users only retrieve data within their authorization scope.</t>
  </si>
  <si>
    <t>Sanabil Tanveer / Specialist Digital Platforms</t>
  </si>
  <si>
    <t>Bizzy: AI Document Intelligence &amp; Knowledge Retrieval Agent (ProcessHub)</t>
  </si>
  <si>
    <t>Bizzy runs on a retrieval-augmented generation (RAG): it interprets the query, retrieves the matching approved document from the indexed ProcessHub corpus, and generates an answer grounded strictly in that retrieved content, citing the exact source for independent verification rather than open-ended generation. Retrieval and generation are scoped entirely to the indexed ProcessHub knowledge base.</t>
  </si>
  <si>
    <t>InSpective: Workflow Intelligence</t>
  </si>
  <si>
    <t>Process knowledge sits in PDFs, Word files and screenshots, so no one can see how work flows end to end and gaps only  surface after they've cost money. InSpective reads those documents with AI — including scans and photos — and returns an audited,visual workflow in minutes: every gap flagged with a severity rating, the exact source line and a recommended fix, exportable to Word, plus an editable swimlane diagram of teams, stages and turnaround times, version-to-version comparison, and an Operating Conditions check that flags where the documented process contradicts how leadership says the business should run</t>
  </si>
  <si>
    <t>Muhammad Qarib / Specialist Process Improvement</t>
  </si>
  <si>
    <t>Automated Invoice Portal: End-to-End Automated Invoice Generation for Billing</t>
  </si>
  <si>
    <t>NightsWatch: Automated ServiceNow Reporting &amp; TAT Tracking Dashboards</t>
  </si>
  <si>
    <t>Customer Sentiment Analytics</t>
  </si>
  <si>
    <t>Developed an end-to-end AI-powered Aspect-Based Sentiment Analysis (ABSA) platform that transforms
thousands of unstructured customer reviews from Google Play Store into actionable business intelligence.
Unlike traditional sentiment analysis that simply classifies a review as positive or negative, this solution
identifies what customers are specifically talking about. The solution automates the complete pipeline, from
review collection and preprocessing to AI-driven analysis and insight generation. Customer reviews are
cleaned, standardized, processed through a multilingual NLP model, and categorized into telecom-specific
business themes. Instead of manually reading thousands of reviews, teams can instantly identify high-impact
issues, monitor customer perception over time, benchmark against competitors, and prioritize product
improvements based on real customer voicesUtilizing customer reviews to identify key areas for enhancement in the Tamasha app, informing the development of targeted features to elevate user experience.</t>
  </si>
  <si>
    <t>Jazz Application</t>
  </si>
  <si>
    <t>Haris Saeed</t>
  </si>
  <si>
    <t xml:space="preserve">CRA </t>
  </si>
  <si>
    <t>CRA Regulatory Portal</t>
  </si>
  <si>
    <t>Includes FAB &amp; PTA Portal automation, a SIM retail analytics dashboard and an agentic chatbot that answers queries and performs actions</t>
  </si>
  <si>
    <t>$500 per month</t>
  </si>
  <si>
    <t>Fiber Roll-out Planning</t>
  </si>
  <si>
    <t>Fiber network expansion planning relies on manual analysis of demand, feasibility, 
coverage gaps, costs, and deployment priorities.
• An AI agent that analyzes network data, customer demand, geographic information, and 
business cases to recommend optimal fiber rollout locations, prioritize investments, and 
track deployment progress.
• Faster planning cycles, improved ROI, optimized coverage expansion, and better capital 
allocatio</t>
  </si>
  <si>
    <t>Not yet Started</t>
  </si>
  <si>
    <t>InclusionIQ AI
DEI Reporting &amp; Insights</t>
  </si>
  <si>
    <t>Develops ESG/DEI strategies across business units using people, business and community 
indicators, with AI-powered insights and projections</t>
  </si>
  <si>
    <t>Sarwat</t>
  </si>
  <si>
    <t>AURAI</t>
  </si>
  <si>
    <t>An Agentic AI Business Assurance Solution combining the legacy deterministic assurance logic with the power of Artificial intelligence. The solution uses Machine Learning Models for classification and other use cases while using locally deployed large language models for analytics, decision making and interfacing. The solution will largenly enable humanless 24/7 assurance with efficiency increased manifold.</t>
  </si>
  <si>
    <t>Corporate and Consumer AI</t>
  </si>
  <si>
    <t>2000 houra / month  (Phase 1)</t>
  </si>
  <si>
    <t>Implemented (Phase 1)</t>
  </si>
  <si>
    <t>Procurement Copilot</t>
  </si>
  <si>
    <t>AI-powered sourcing assistant, built in-house on Jazz's Azure environment and integrated 
directly with Oracle Fusion Procurement, which stays the single source of record. It takes a 
tender through the full lifecycle, from requirement intake and RFx preparation to bid 
evaluation and award recommendation, using a transparent MEAT (Most Economically 
Advantageous Tender) scoring engine with evaluator overrides and a complete audit trail. 
• Procurement teams get faster, more consistent, and fully traceable sourcing decisions 
without leaving Jazz's data boundary.</t>
  </si>
  <si>
    <t>Farrukh H</t>
  </si>
  <si>
    <t>Financial Intelligence Studio</t>
  </si>
  <si>
    <t>Jazz's in-house AI finance platform, it lets finance users query the company’s financial data in 
plain language, plan scenarios and business cases on real drivers, track budget vs actual, 
cash runway and period close, model M&amp;A deals and consolidate group results, all in one 
workspace. 
• Every figure comes from Jazz's finance data and deterministic engines, never from the 
model, so the AI explains and narrates while the numbers stay auditable</t>
  </si>
  <si>
    <t>APNACLINIC AI based doctor consultations</t>
  </si>
  <si>
    <t>AI Content Generation</t>
  </si>
  <si>
    <t>LV is building an AI-native content creation platform to produce original content at scale 
across microdramas, podcasts, sports shows, dramas, and short films, supporting Tamasha’s 
content strategy while reducing production costs and accelerating time-to-market.
• The platform combines advanced AI models, content tools, and strategic partnerships to 
automate ideation, script generation, localization, and production workflows
• The toolset and model suite are actively being expanded, with new resources and partnerships 
being onboarded to support script generation and related content workflows, laying the 
groundwork for full-scale original content production</t>
  </si>
  <si>
    <t>Ali Fahad</t>
  </si>
  <si>
    <t>AI-Powered Virtual Assistants</t>
  </si>
  <si>
    <t>• Building on SIA's agentic capabilities, JLV is driving cross-platform integration of virtual 
assistants across our product portfolio. This includes developing a centralized model 
ecosystem and layering in localized conversational capabilities, making our assistants more 
relevant and accessible to our user base. A dedicated Medical Virtual Assistant is also in 
development, extending SIA's impact into a new domain.
• SIA has already been extended to Tamasha, powering entertainment and sports use cases 
live today. In parallel, development of the SIA Medical Assistant is underway, marking JLV's 
entry into AI-driven healthcare support</t>
  </si>
  <si>
    <t>Live</t>
  </si>
  <si>
    <t>GATHERSENSE - AI-Assisted 
Contract Review</t>
  </si>
  <si>
    <t>GatherSense is an AI-powered contract review solution designed to help legal teams 
manage a volume of approximately 300 contracts per month with greater efficiency
• The platform automates clause extraction, risk identification, deviation detection, and 
mitigation recommendations, while legal professionals retain responsibility for regulatory 
interpretation, risk assessment, negotiation strategy, and final advice. T
• GatherSense enhances legal team productivity, reduces review effort, and creates additional 
capacity to support growing business demand without compromising legal oversight.</t>
  </si>
  <si>
    <t>Moxiv</t>
  </si>
  <si>
    <t>• Moxiv is an AI-powered interview and talent assessment platform that automates candidate 
screening through adaptive, personalized AI interviews. 
• It evaluates technical skills, problem-solving, communication, behavioural traits, and growth 
potential using standardized, data-driven assessments, reducing bias and improving hiring 
consistency. 
• Successfully deployed for the JazzWorld AI Associate Program, Moxiv screened approximately 
6,000 applicants and is capable of assessing 15,000+ candidates at scale, enabling faster, 
fairer, and more efficient hiring decisions through AI-generated insights and recommendations</t>
  </si>
  <si>
    <t>Agentic CEO Office</t>
  </si>
  <si>
    <t>An autonomous agent that turns CEO instructions and directives into actionable 
items, complete with tracking and a live dashboard using a “traffic lights” 
monitoring &amp; reporting system</t>
  </si>
  <si>
    <t>IS Opportunities Desk</t>
  </si>
  <si>
    <t>An agent to scan, review and synthesise public sector tenders advertised on 
digital and non-digital channels for the Institutional Sales vertical — turning 
tender postings into an owned discovery and</t>
  </si>
  <si>
    <t>Back Office Automation</t>
  </si>
  <si>
    <t>AI &amp; RPA enabled intelligent case processing by automating high-volume backend 
marketing and customer operations at Jazz GSM. 
• The solution combines AI-based decision-making with robotic process automation to 
eliminate manual handling of routine requests, campaign operations, and customer case 
management</t>
  </si>
  <si>
    <t>Kazim</t>
  </si>
  <si>
    <t>Jazz Advance</t>
  </si>
  <si>
    <t>Jazz Inteligence Agent (JIA)</t>
  </si>
  <si>
    <t>Consumer Growth WhiteLabel AI Platform</t>
  </si>
  <si>
    <t xml:space="preserve">a single portal for searching, tracking and managing shortcodes
from request to dashboard activation. It brings information that was spread across Excel files, email threads
and different teams into one clear view. A user can search for a shortcode and immediately see its service,
vendor, price, sample text, current status, owner, blocker, due date and next action. </t>
  </si>
  <si>
    <t>Ali Hasnain</t>
  </si>
  <si>
    <t>CX AI Co-Pilot</t>
  </si>
  <si>
    <t>Jazz CX AI Copilot is an AI-powered assistant that transforms how Customer Experience teams access
enterprise knowledge. Instead of manually searching through product information, SOPs, and process
documents, agents simply ask questions in natural language and receive instant, accurate, source-backed
answers. The Copilot empowers employees to resolve customer queries faster, improve response consistency,
reduce handling time, and deliver a better customer experience, while creating a scalable AI foundation for
Jazz's AI-first Customer Experience transformation.</t>
  </si>
  <si>
    <t>Jazz CX</t>
  </si>
  <si>
    <t>Nauman Mughal</t>
  </si>
  <si>
    <t>Geo-Fencing Compliance &amp; Patched Device Detection</t>
  </si>
  <si>
    <t xml:space="preserve">developed an AI-powered Geo-Fencing Compliance Monitoring and Patched Device Detection platform to
identify devices that bypass PTA-mandated sales geo-fencing controls. The solution analyzes more than 1.1
million monthly sales transactions across approximately 70,000 devices and continuously evaluates device
movement behavior, location patterns, and site coverage activity. Using machine learning, anomaly detection,
geospatial analytics, and GIS visualization, the platform automatically identifies suspicious devices exhibiting
abnormal behavior such as location locking, static coordinates, excessive site hopping, unrealistic movement
patterns, and sales activity extending far beyond the permitted 100-meter geo-fencing radius. </t>
  </si>
  <si>
    <t>Abdul Basit Siddiqui</t>
  </si>
  <si>
    <t xml:space="preserve"> Geospatial AI Sales Intelligence Model (BVS Deployment)</t>
  </si>
  <si>
    <t>developed a Geospatial AI Sales Intelligence Model that identifies high-potential locations for new
BVS deployment using historical sales data and spatial machine learning techniques. The model analyzes
pre-regime sales transactions, existing BVS locations, franchise boundaries, and geographic coverage to
identify underserved areas where customer demand exists but no compliant BVS presence is available. Using
machine learning algorithms such as HDBSCAN/DBSCAN clustering and cKDTree spatial analysis, the model
detects demand hotspots and ranks them based on historical sales density</t>
  </si>
  <si>
    <t>Call Center Analytics</t>
  </si>
  <si>
    <t>Analyze Customer sentiment during interactions with call center representatives to gain 
valuable insights into customer satisfaction levels and identify areas for improvement 
• Call centre QA to provide 100% call coverage vs. current 1–2%; currently in the testing 
stage.</t>
  </si>
  <si>
    <t>Murtaza</t>
  </si>
  <si>
    <t>JazzCash Product GPT</t>
  </si>
  <si>
    <t>Product profitability analysis was dependent on complex Excel models, making it time_x0002_consuming to access, analyze, and act on insights.
• An interactive dashboard that provides product-level profitability insights through an AI_x0002_powered chatbot for historical queries.
• Enables faster identification of profitability issues, reduces reliance on Excel, improves 
management visibility, and supports quicker data-driven decision-making for product 
owners and leadership</t>
  </si>
  <si>
    <t>Agentic Marketing</t>
  </si>
  <si>
    <t>Description pending confirmation from the business unit</t>
  </si>
  <si>
    <t>To be Started</t>
  </si>
  <si>
    <t>JazzCash Incident Intelligence</t>
  </si>
  <si>
    <t>built a Generative AI-driven Incident Intelligence and APM (Application Performance Monitoring) dashboard
for JazzCash Operations. It empowers non-technical support agents and operations engineers to query millions
of distributed microservice logs using plain English. The AI instantly performs cross-service transaction tracing,
calculates platform-wide failure statistics, and automatically generates executive-level Root Cause Analysis
(RCA) reports complete with estimated blast radiuses and actionable remediation plans</t>
  </si>
  <si>
    <t>Haseeb Shaukat</t>
  </si>
  <si>
    <t>Reduced incident investigation time from 30+ minutes per transaction to under 5 seconds.</t>
  </si>
  <si>
    <t>Secure AI Posture Assistant</t>
  </si>
  <si>
    <t>An in-house AI assistant that lets our Information Security team ask about the bank's 
vulnerability estate in plain language and get accurate reports in seconds instead of 
hours. It flags what to fix first by real risk
• This runs entirely on our own servers, so no security data ever leaves the bank</t>
  </si>
  <si>
    <t>SBP Circular Monitor</t>
  </si>
  <si>
    <t>An AI tool that watches SBP's website 24/7 and turns each new circular into a ready, 
department-tagged compliance tracker in minutes - screened for relevance, every 
clause and deadline captured, with a full audit trail. Runs locally on our own servers, so 
compliance staff review instead of read.</t>
  </si>
  <si>
    <t>MIRA – Mobilink Intelligence Response Assistant</t>
  </si>
  <si>
    <t xml:space="preserve">We built MIRA (Mobilink Intelligence Response Assistant) - an in-house, LLM-powered knowledge assistant
that gives every MMBL employee instant, source-cited answers on the bank's risk policies, credit policies,
product manuals, internal circulars, latest SBP circulars, and SBP prudential regulations. </t>
  </si>
  <si>
    <t>33,400 hours / ~16 FTEs of capacity</t>
  </si>
  <si>
    <t>AI Threat Watch Portal for SOC</t>
  </si>
  <si>
    <t>In the modern threat landscape, telecom and fintech public portals serve as critical 
gateways for consumer engagement, financial transactions, and operational services. 
For Jazz Cash, a defacement or unexpected outage directly degrades
• customer trust, may trigger into regulatory penalties from the State Bank of Pakistan 
(SBP), reputation via visual defacements.
• An AI-based monitoring layer that watches sites visually in real time, detects defacement 
and content tampering, and alerts the SOC instantly.</t>
  </si>
  <si>
    <t>Productivity / Visibility (just increase monitoring)</t>
  </si>
  <si>
    <t>Just increase visibility and monitoring</t>
  </si>
  <si>
    <t>Jazz 1440 Concierge</t>
  </si>
  <si>
    <t>Abdul Rehman</t>
  </si>
  <si>
    <t>Agentic AI - Autonomous CX Platform</t>
  </si>
  <si>
    <t>developing an Agentic AI-powered Customer Experience Platform designed to transform how enterprise
and telecom customers interact with Jazz. Unlike conventional chatbots, the platform uses autonomous AI
agents capable of understanding customer intent, executing business workflows, and resolving customer
issues without requiring continuous human intervention. The solution is designed to automate 70–80% of
repetitive customer inquiries while maintaining an expected service quality of over 85%. It will support voice
and digital channels, enabling customers to receive accurate, personalized, and immediate responses 24/7</t>
  </si>
  <si>
    <t>Tayyaba Khalid</t>
  </si>
  <si>
    <t>AI Use Case Data Collection Template</t>
  </si>
  <si>
    <t>Instructions: Grey columns are for context only (do not edit). Fill in ONLY the red-header columns. Yellow cells are still empty and need your input. Once complete, send this sheet back — the information will be added into the main AIUC dashboard sheet manually.</t>
  </si>
  <si>
    <t>~289000 (80M PKR)</t>
  </si>
  <si>
    <t>~217,000 USD (60M PKR)</t>
  </si>
  <si>
    <t>1,200,000 (Indicative)/70% REV Share model with vendor</t>
  </si>
  <si>
    <t>Vendor onboarding, pilot, VAPT, integration and internal effort</t>
  </si>
  <si>
    <t>392 MPKR in 2025</t>
  </si>
  <si>
    <t xml:space="preserve">Implementation of Agentic AI "Super Agents" for Jazz’s customer support and internal operations.
Unlike simple chatbots, these are specialized AI agents with specific roles and objectives that can
independently plan, reason, and perform complex tasks like resolving billing disputes or personalising service
plans </t>
  </si>
  <si>
    <t>TEC-Access Management Team</t>
  </si>
  <si>
    <t>CyberSecurity (SOC)</t>
  </si>
  <si>
    <t xml:space="preserve">B2C &amp; B2B GSM customer </t>
  </si>
  <si>
    <t>Revenue and jazz cash- Cash Flow uplift</t>
  </si>
  <si>
    <t>35 billion rupees PER MONTH</t>
  </si>
  <si>
    <t>60000$</t>
  </si>
  <si>
    <t xml:space="preserve">In fact, some projects that reduce manual workloads by 20% have seen up to a 500% return on investment. </t>
  </si>
  <si>
    <t xml:space="preserve">Governance </t>
  </si>
  <si>
    <t>Strategy - Consumer Insights</t>
  </si>
  <si>
    <t>Shoaib Ilyas</t>
  </si>
  <si>
    <t>Efficiency &amp; Productivity</t>
  </si>
  <si>
    <t>For the lifetime of consumers insights unit</t>
  </si>
  <si>
    <t>Enterprise AI - Employee or Organization</t>
  </si>
  <si>
    <t>1000 annual on LLM subscriptions</t>
  </si>
  <si>
    <t>Limited Launch</t>
  </si>
  <si>
    <t>Strategy (EPMO)</t>
  </si>
  <si>
    <t>Sultan Mahmood</t>
  </si>
  <si>
    <t>As long as the CEO office is running</t>
  </si>
  <si>
    <t>384 hours/year (16 hours saved per bi-weekly cycle)</t>
  </si>
  <si>
    <t>285/month</t>
  </si>
  <si>
    <t>Laeeq Ahmed &amp; Maaz Tahir</t>
  </si>
  <si>
    <t>Efficiency</t>
  </si>
  <si>
    <t>Estimation in process</t>
  </si>
  <si>
    <t>104 per person</t>
  </si>
  <si>
    <t>10+</t>
  </si>
  <si>
    <t>N/A for productivity case, design target:  approximately 80% reduction in manual coordination effort per cycle</t>
  </si>
  <si>
    <t>~ 2 months and USD 500 in experimentation, trial &amp; error</t>
  </si>
  <si>
    <t>~1,000+ man-hours</t>
  </si>
  <si>
    <t>Very Low</t>
  </si>
  <si>
    <t>$126,000</t>
  </si>
  <si>
    <t>$16,200</t>
  </si>
  <si>
    <t>150 hours</t>
  </si>
  <si>
    <t>Ongoing benefit</t>
  </si>
  <si>
    <t>Orbit Pulse</t>
  </si>
  <si>
    <t>Orbit Pulse is a live interactive presentation app. Attendees scan a QR code to answer polls, quizzes, word clouds and Q&amp;A from their phones, results appear instantly on the big screen, and there are breakout rooms, AI summaries, moderation and post-event reports.</t>
  </si>
  <si>
    <t>$50</t>
  </si>
  <si>
    <t>12hrs/person/year (300 people)</t>
  </si>
  <si>
    <t>5+ years</t>
  </si>
  <si>
    <t>25hrs/person/year (200 people)</t>
  </si>
  <si>
    <t>$2,048 (cost of thousand queries)</t>
  </si>
  <si>
    <t>14 hrs/person/year (300 people)</t>
  </si>
  <si>
    <t>55 hrs/person/year (7 people)</t>
  </si>
  <si>
    <t>68 hrs/person/year (15 people)</t>
  </si>
  <si>
    <t>96 hrs/person/year (30 people)</t>
  </si>
  <si>
    <t xml:space="preserve">Hassan Bokhari / Mahnoor / Daniyal Arif </t>
  </si>
  <si>
    <t xml:space="preserve">$45,000 for 3 years 1 year has passed </t>
  </si>
  <si>
    <t>$28,000 one time cost</t>
  </si>
  <si>
    <t>76 hrs/weekly</t>
  </si>
  <si>
    <t>AI Solution for Litigation</t>
  </si>
  <si>
    <t>The AI-enabled Litigation Solution is being developed as a one-step repository and live case management portal for all matters pending before courts across Pakistan. It integrates AI to generate case summaries and reports through prompts, while also allowing users to upload documents, extract relevant information, and automatically organize it under the respective case</t>
  </si>
  <si>
    <t>Uzma Amjad / Taimur Farid</t>
  </si>
  <si>
    <t>$9,600 / year</t>
  </si>
  <si>
    <t>JIA is a bilingual conversational analytics assistant with a privacy-first architecture at its core. A decision-maker asks
a business question — in English, Roman Urdu, or a mix — over WhatsApp, and receives an executive-ready
dashboard and a one-line insight in at most 45 seconds. Crucially, the raw data never moves: it is read,
queried, and computed entirely on a local machine. The AI model sees only the structure of the data and a
small, aggregated result — never a single customer record. That design is what makes the rest possible. JIA
learns the team's everyday Excel and Power-BI exports on its own and stays current as new files arrive — no
manual rebuild. A governed layer of business knowledge — agreed definitions, date logic, language
understanding — sits in front of the model, so the same question always returns the same, correct number. The
model writes a validated query, runs it locally, self-corrects if it fails, and designs the visual to match. It also
tracks what competitors promote on public digital channels, so market moves surface early.</t>
  </si>
  <si>
    <t>Asad Maqbool / Nabeel Qureshi</t>
  </si>
  <si>
    <t>GAP -AIUC</t>
  </si>
  <si>
    <t xml:space="preserve">Name </t>
  </si>
  <si>
    <t xml:space="preserve">Dept </t>
  </si>
  <si>
    <t xml:space="preserve">Total no of use cases </t>
  </si>
  <si>
    <t xml:space="preserve">PPL who havent shown at all </t>
  </si>
  <si>
    <t xml:space="preserve">Completely Filled Values </t>
  </si>
  <si>
    <t>Totally Missing Estimated Values</t>
  </si>
  <si>
    <t>Partially Filled Values</t>
  </si>
  <si>
    <t>Teknosys=6</t>
  </si>
  <si>
    <t>Haider Altaf Malik</t>
  </si>
  <si>
    <t>NO</t>
  </si>
  <si>
    <t>Waqas ur Rehman</t>
  </si>
  <si>
    <t>P&amp;O=19</t>
  </si>
  <si>
    <t xml:space="preserve"> Zeeshan Nadeem</t>
  </si>
  <si>
    <t>0,Confluence</t>
  </si>
  <si>
    <t xml:space="preserve">Jawad Ali </t>
  </si>
  <si>
    <t>Tech=69</t>
  </si>
  <si>
    <t>Adnan Tanvir</t>
  </si>
  <si>
    <t xml:space="preserve"> Danyal Arif</t>
  </si>
  <si>
    <t>yes</t>
  </si>
  <si>
    <t>Nauman Abrar Beg</t>
  </si>
  <si>
    <t>Mateen Durrani</t>
  </si>
  <si>
    <t xml:space="preserve">Fatima Nasim </t>
  </si>
  <si>
    <t>Junaid Tariq</t>
  </si>
  <si>
    <t>Taimur</t>
  </si>
  <si>
    <t xml:space="preserve">waqas Iqbal </t>
  </si>
  <si>
    <t>Fin=11</t>
  </si>
  <si>
    <t xml:space="preserve"> Mubashar Ahmed Hassan</t>
  </si>
  <si>
    <t>JLV=17</t>
  </si>
  <si>
    <t xml:space="preserve"> Ivan William</t>
  </si>
  <si>
    <t xml:space="preserve">Faiza Hassan </t>
  </si>
  <si>
    <t>Hafiz Muhammad Bilal</t>
  </si>
  <si>
    <t>Jazz Gsm=43</t>
  </si>
  <si>
    <t>Sobia Samad Khalid</t>
  </si>
  <si>
    <t>same</t>
  </si>
  <si>
    <t xml:space="preserve"> Rabia Fatima</t>
  </si>
  <si>
    <t xml:space="preserve">Asad Maqbool </t>
  </si>
  <si>
    <t>Amna Tahir</t>
  </si>
  <si>
    <t>CRA=2</t>
  </si>
  <si>
    <t xml:space="preserve">Nayab Sadaf </t>
  </si>
  <si>
    <t>Fatima Akhtar</t>
  </si>
  <si>
    <t>Legal=3</t>
  </si>
  <si>
    <t xml:space="preserve"> Jannat Ali Kalyar</t>
  </si>
  <si>
    <t>Murtaza S Miabhoy</t>
  </si>
  <si>
    <t>Strategy=3</t>
  </si>
  <si>
    <t>Muhammad Yasir Hameed</t>
  </si>
  <si>
    <t>Mehr Masood</t>
  </si>
  <si>
    <t>Rijaa Abid</t>
  </si>
  <si>
    <t>ES=13</t>
  </si>
  <si>
    <t>Zeeshan Mustafa</t>
  </si>
  <si>
    <t>Rida Ali</t>
  </si>
  <si>
    <t>Saad ur Rehman Fazal</t>
  </si>
  <si>
    <t>IA=1</t>
  </si>
  <si>
    <t>Hammad Ahsan</t>
  </si>
  <si>
    <t>Cybersecurity=2</t>
  </si>
  <si>
    <t>Majid Mehmood</t>
  </si>
  <si>
    <t>Syed Ali Raza</t>
  </si>
  <si>
    <t>Compliance=4</t>
  </si>
  <si>
    <t>Rabia Kuli Khan Khattak</t>
  </si>
  <si>
    <t>Aneeque Imran</t>
  </si>
  <si>
    <t>Muhammad Nisar Ahmed</t>
  </si>
  <si>
    <t>Syed Kashif Hassan</t>
  </si>
  <si>
    <t>Jazzcash=12</t>
  </si>
  <si>
    <t>Talia Waqar</t>
  </si>
  <si>
    <t>Yahya Saeed Khan</t>
  </si>
  <si>
    <t>Haris Bin Javed</t>
  </si>
  <si>
    <t xml:space="preserve"> Muhammad Tayyab</t>
  </si>
  <si>
    <t>MMBL=9</t>
  </si>
  <si>
    <t xml:space="preserve">Muhammad Faizan </t>
  </si>
  <si>
    <t>Ahad Ahmad Bajwa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</si>
</sst>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yy"/>
    <numFmt numFmtId="165" formatCode="\$#,##0.00"/>
    <numFmt numFmtId="166" formatCode="\$#,##0"/>
    <numFmt numFmtId="167" formatCode="&quot;$&quot;#,##0.00"/>
  </numFmts>
  <fonts count="28" x14ac:knownFonts="1">
    <font>
      <sz val="11"/>
      <color theme="1"/>
      <name val="Aptos Narrow"/>
      <charset val="1"/>
    </font>
    <font>
      <sz val="11"/>
      <color theme="1"/>
      <name val="Aptos Narrow"/>
      <family val="2"/>
      <scheme val="minor"/>
    </font>
    <font>
      <b/>
      <sz val="10"/>
      <color rgb="FFFFFFFF"/>
      <name val="Arial"/>
      <family val="2"/>
      <charset val="1"/>
    </font>
    <font>
      <sz val="11"/>
      <color theme="1" tint="0.3498947111423078"/>
      <name val="Arial"/>
      <family val="2"/>
      <charset val="1"/>
    </font>
    <font>
      <sz val="11"/>
      <color theme="1"/>
      <name val="Arial"/>
      <family val="2"/>
      <charset val="1"/>
    </font>
    <font>
      <sz val="11"/>
      <color rgb="FF595959"/>
      <name val="Arial"/>
      <family val="2"/>
      <charset val="1"/>
    </font>
    <font>
      <sz val="11"/>
      <name val="Arial"/>
      <family val="2"/>
      <charset val="1"/>
    </font>
    <font>
      <sz val="11"/>
      <color rgb="FF000000"/>
      <name val="Arial"/>
      <family val="2"/>
      <charset val="1"/>
    </font>
    <font>
      <sz val="11"/>
      <color theme="1"/>
      <name val="Aptos Narrow"/>
      <family val="2"/>
      <charset val="1"/>
    </font>
    <font>
      <sz val="11"/>
      <color theme="1" tint="0.24988555558946501"/>
      <name val="Arial"/>
      <family val="2"/>
      <charset val="1"/>
    </font>
    <font>
      <i/>
      <sz val="11"/>
      <color theme="1"/>
      <name val="Arial"/>
      <family val="2"/>
      <charset val="1"/>
    </font>
    <font>
      <sz val="11"/>
      <color theme="1" tint="0.3498947111423078"/>
      <name val="Aptos Narrow"/>
      <family val="2"/>
      <charset val="1"/>
    </font>
    <font>
      <sz val="11"/>
      <color rgb="FF000000"/>
      <name val="Aptos Narrow"/>
      <family val="2"/>
      <charset val="1"/>
    </font>
    <font>
      <b/>
      <sz val="16"/>
      <color rgb="FF1F4E78"/>
      <name val="Arial"/>
      <family val="2"/>
    </font>
    <font>
      <i/>
      <sz val="10"/>
      <color rgb="FF7F6000"/>
      <name val="Arial"/>
      <family val="2"/>
    </font>
    <font>
      <sz val="11"/>
      <color theme="1"/>
      <name val="Arial"/>
      <family val="2"/>
    </font>
    <font>
      <sz val="11"/>
      <name val="Arial"/>
      <family val="2"/>
    </font>
    <font>
      <sz val="11"/>
      <color rgb="FF595959"/>
      <name val="Arial"/>
      <family val="2"/>
    </font>
    <font>
      <sz val="11"/>
      <color rgb="FF000000"/>
      <name val="Aptos Narrow"/>
      <family val="2"/>
      <scheme val="minor"/>
    </font>
    <font>
      <sz val="11"/>
      <name val="Arial"/>
      <family val="2"/>
    </font>
    <font>
      <sz val="11"/>
      <color rgb="FF000000"/>
      <name val="Aptos Narrow"/>
      <family val="2"/>
    </font>
    <font>
      <sz val="11"/>
      <color rgb="FF000000"/>
      <name val="Aptos Narrow"/>
      <family val="2"/>
    </font>
    <font>
      <b/>
      <sz val="11"/>
      <color theme="1"/>
      <name val="Aptos Narrow"/>
      <family val="2"/>
      <scheme val="minor"/>
    </font>
    <font>
      <b/>
      <i/>
      <sz val="20"/>
      <color theme="1"/>
      <name val="Aptos Narrow"/>
      <family val="2"/>
      <scheme val="minor"/>
    </font>
    <font>
      <b/>
      <i/>
      <sz val="12"/>
      <color theme="1"/>
      <name val="Aptos Narrow"/>
      <family val="2"/>
      <scheme val="minor"/>
    </font>
    <font>
      <sz val="12"/>
      <color theme="1"/>
      <name val="Aptos Narrow"/>
      <family val="2"/>
    </font>
    <font>
      <b/>
      <sz val="11"/>
      <color theme="1"/>
      <name val="Aptos Narrow"/>
      <family val="2"/>
    </font>
    <font>
      <sz val="11"/>
      <color theme="1"/>
      <name val="Aptos Narrow"/>
      <family val="2"/>
    </font>
  </fonts>
  <fills count="48">
    <fill>
      <patternFill patternType="none"/>
    </fill>
    <fill>
      <patternFill patternType="gray125"/>
    </fill>
    <fill>
      <patternFill patternType="solid">
        <fgColor rgb="FF595959"/>
        <bgColor rgb="FF404040"/>
      </patternFill>
    </fill>
    <fill>
      <patternFill patternType="solid">
        <fgColor rgb="FFC00000"/>
        <bgColor rgb="FFFF0000"/>
      </patternFill>
    </fill>
    <fill>
      <patternFill patternType="solid">
        <fgColor rgb="FFF2F2F2"/>
        <bgColor rgb="FFFFFFFF"/>
      </patternFill>
    </fill>
    <fill>
      <patternFill patternType="solid">
        <fgColor rgb="FFF1A983"/>
        <bgColor rgb="FFFFCC99"/>
      </patternFill>
    </fill>
    <fill>
      <patternFill patternType="solid">
        <fgColor theme="0"/>
        <bgColor rgb="FFF2F2F2"/>
      </patternFill>
    </fill>
    <fill>
      <patternFill patternType="solid">
        <fgColor rgb="FFFFF2CC"/>
        <bgColor rgb="FFF2F2F2"/>
      </patternFill>
    </fill>
    <fill>
      <patternFill patternType="solid">
        <fgColor rgb="FFFFCC99"/>
        <bgColor rgb="FFF1A983"/>
      </patternFill>
    </fill>
    <fill>
      <patternFill patternType="solid">
        <fgColor rgb="FFFFC000"/>
        <bgColor rgb="FFFF9900"/>
      </patternFill>
    </fill>
    <fill>
      <patternFill patternType="solid">
        <fgColor rgb="FFFFFF00"/>
        <bgColor rgb="FFFFFF00"/>
      </patternFill>
    </fill>
    <fill>
      <patternFill patternType="solid">
        <fgColor theme="4" tint="0.59987182226020086"/>
        <bgColor rgb="FF83CCEB"/>
      </patternFill>
    </fill>
    <fill>
      <patternFill patternType="solid">
        <fgColor theme="0"/>
        <bgColor rgb="FFFFF2CC"/>
      </patternFill>
    </fill>
    <fill>
      <patternFill patternType="solid">
        <fgColor theme="4" tint="0.59999389629810485"/>
        <bgColor indexed="64"/>
      </patternFill>
    </fill>
    <fill>
      <patternFill patternType="solid">
        <fgColor rgb="FF83CCEB"/>
        <bgColor rgb="FF000000"/>
      </patternFill>
    </fill>
    <fill>
      <patternFill patternType="solid">
        <fgColor theme="0" tint="-4.9989318521683403E-2"/>
        <bgColor rgb="FFFFFFFF"/>
      </patternFill>
    </fill>
    <fill>
      <patternFill patternType="solid">
        <fgColor theme="2" tint="-4.9989318521683403E-2"/>
        <bgColor rgb="FF83CCEB"/>
      </patternFill>
    </fill>
    <fill>
      <patternFill patternType="solid">
        <fgColor theme="0"/>
        <bgColor rgb="FF83CCEB"/>
      </patternFill>
    </fill>
    <fill>
      <patternFill patternType="solid">
        <fgColor theme="0"/>
        <bgColor rgb="FFF2AA84"/>
      </patternFill>
    </fill>
    <fill>
      <patternFill patternType="solid">
        <fgColor theme="0"/>
        <bgColor rgb="FFF1A983"/>
      </patternFill>
    </fill>
    <fill>
      <patternFill patternType="solid">
        <fgColor theme="0"/>
        <bgColor indexed="64"/>
      </patternFill>
    </fill>
    <fill>
      <patternFill patternType="solid">
        <fgColor rgb="FF83CCEB"/>
        <bgColor rgb="FF83CCEB"/>
      </patternFill>
    </fill>
    <fill>
      <patternFill patternType="solid">
        <fgColor rgb="FFFFFFFF"/>
        <bgColor rgb="FF83CCEB"/>
      </patternFill>
    </fill>
    <fill>
      <patternFill patternType="solid">
        <fgColor rgb="FFFFFFFF"/>
        <bgColor rgb="FFFFFFFF"/>
      </patternFill>
    </fill>
    <fill>
      <patternFill patternType="solid">
        <fgColor rgb="FFFFFFFF"/>
        <bgColor rgb="FFFFCC99"/>
      </patternFill>
    </fill>
    <fill>
      <patternFill patternType="solid">
        <fgColor rgb="FFFFFFFF"/>
        <bgColor rgb="FFF1A983"/>
      </patternFill>
    </fill>
    <fill>
      <patternFill patternType="solid">
        <fgColor rgb="FFFFFFFF"/>
        <bgColor rgb="FFF2F2F2"/>
      </patternFill>
    </fill>
    <fill>
      <patternFill patternType="solid">
        <fgColor theme="4" tint="0.59999389629810485"/>
        <bgColor rgb="FFFFFFFF"/>
      </patternFill>
    </fill>
    <fill>
      <patternFill patternType="solid">
        <fgColor theme="0"/>
        <bgColor rgb="FFFFCC99"/>
      </patternFill>
    </fill>
    <fill>
      <patternFill patternType="solid">
        <fgColor theme="0" tint="-0.14999847407452621"/>
        <bgColor indexed="64"/>
      </patternFill>
    </fill>
    <fill>
      <patternFill patternType="solid">
        <fgColor theme="2" tint="-0.249977111117893"/>
        <bgColor indexed="64"/>
      </patternFill>
    </fill>
    <fill>
      <patternFill patternType="solid">
        <fgColor theme="0"/>
        <bgColor rgb="FF000000"/>
      </patternFill>
    </fill>
    <fill>
      <patternFill patternType="solid">
        <fgColor theme="3" tint="0.49998474074526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rgb="FF00FFFF"/>
        <bgColor indexed="64"/>
      </patternFill>
    </fill>
    <fill>
      <patternFill patternType="solid">
        <fgColor rgb="FFFF6699"/>
        <bgColor indexed="64"/>
      </patternFill>
    </fill>
    <fill>
      <patternFill patternType="solid">
        <fgColor rgb="FF9999FF"/>
        <bgColor indexed="64"/>
      </patternFill>
    </fill>
    <fill>
      <patternFill patternType="solid">
        <fgColor rgb="FFFF9933"/>
        <bgColor indexed="64"/>
      </patternFill>
    </fill>
    <fill>
      <patternFill patternType="solid">
        <fgColor rgb="FF00CC99"/>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CCCC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84">
    <xf numFmtId="0" fontId="0" fillId="0" borderId="0" xfId="0"/>
    <xf numFmtId="0" fontId="0" fillId="0" borderId="0" xfId="0" applyAlignment="1">
      <alignment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wrapText="1"/>
    </xf>
    <xf numFmtId="0" fontId="3" fillId="4" borderId="1" xfId="0" applyFont="1" applyFill="1" applyBorder="1" applyAlignment="1">
      <alignment vertical="center" wrapText="1"/>
    </xf>
    <xf numFmtId="0" fontId="4" fillId="0" borderId="1" xfId="0" applyFont="1" applyBorder="1" applyAlignment="1">
      <alignment wrapText="1"/>
    </xf>
    <xf numFmtId="0" fontId="4" fillId="5" borderId="1" xfId="0" applyFont="1" applyFill="1" applyBorder="1" applyAlignment="1">
      <alignment wrapText="1"/>
    </xf>
    <xf numFmtId="0" fontId="4" fillId="6" borderId="1" xfId="0" applyFont="1" applyFill="1" applyBorder="1" applyAlignment="1">
      <alignment wrapText="1"/>
    </xf>
    <xf numFmtId="0" fontId="4" fillId="7" borderId="1" xfId="0" applyFont="1" applyFill="1" applyBorder="1" applyAlignment="1">
      <alignment wrapText="1"/>
    </xf>
    <xf numFmtId="0" fontId="3" fillId="9" borderId="1" xfId="0" applyFont="1" applyFill="1" applyBorder="1" applyAlignment="1">
      <alignment wrapText="1"/>
    </xf>
    <xf numFmtId="0" fontId="5" fillId="4" borderId="1" xfId="0" applyFont="1" applyFill="1" applyBorder="1" applyAlignment="1">
      <alignment vertical="center" wrapText="1"/>
    </xf>
    <xf numFmtId="0" fontId="3" fillId="10" borderId="1" xfId="0" applyFont="1" applyFill="1" applyBorder="1" applyAlignment="1">
      <alignment wrapText="1"/>
    </xf>
    <xf numFmtId="164" fontId="4" fillId="0" borderId="1" xfId="0" applyNumberFormat="1" applyFont="1" applyBorder="1" applyAlignment="1">
      <alignment horizontal="center" vertical="top" wrapText="1"/>
    </xf>
    <xf numFmtId="0" fontId="3" fillId="11" borderId="1" xfId="0" applyFont="1" applyFill="1" applyBorder="1" applyAlignment="1">
      <alignment wrapText="1"/>
    </xf>
    <xf numFmtId="0" fontId="5" fillId="11" borderId="1" xfId="0" applyFont="1" applyFill="1" applyBorder="1" applyAlignment="1">
      <alignment vertical="center" wrapText="1"/>
    </xf>
    <xf numFmtId="0" fontId="3" fillId="11" borderId="1" xfId="0" applyFont="1" applyFill="1" applyBorder="1" applyAlignment="1">
      <alignment vertical="center" wrapText="1"/>
    </xf>
    <xf numFmtId="0" fontId="4" fillId="11" borderId="1" xfId="0" applyFont="1" applyFill="1" applyBorder="1" applyAlignment="1">
      <alignment wrapText="1"/>
    </xf>
    <xf numFmtId="0" fontId="5" fillId="4" borderId="1" xfId="0" applyFont="1" applyFill="1" applyBorder="1" applyAlignment="1">
      <alignment wrapText="1"/>
    </xf>
    <xf numFmtId="0" fontId="5" fillId="10" borderId="1" xfId="0" applyFont="1" applyFill="1" applyBorder="1" applyAlignment="1">
      <alignment wrapText="1"/>
    </xf>
    <xf numFmtId="0" fontId="7" fillId="6" borderId="1" xfId="0" applyFont="1" applyFill="1" applyBorder="1" applyAlignment="1">
      <alignment wrapText="1"/>
    </xf>
    <xf numFmtId="0" fontId="7" fillId="7" borderId="1" xfId="0" applyFont="1" applyFill="1" applyBorder="1" applyAlignment="1">
      <alignment wrapText="1"/>
    </xf>
    <xf numFmtId="0" fontId="4" fillId="4" borderId="1" xfId="0" applyFont="1" applyFill="1" applyBorder="1" applyAlignment="1">
      <alignment wrapText="1"/>
    </xf>
    <xf numFmtId="0" fontId="9" fillId="4" borderId="1" xfId="0" applyFont="1" applyFill="1" applyBorder="1" applyAlignment="1">
      <alignment wrapText="1"/>
    </xf>
    <xf numFmtId="0" fontId="5" fillId="5" borderId="1" xfId="0" applyFont="1" applyFill="1" applyBorder="1" applyAlignment="1">
      <alignment vertical="center" wrapText="1"/>
    </xf>
    <xf numFmtId="0" fontId="5" fillId="11" borderId="2" xfId="0" applyFont="1" applyFill="1" applyBorder="1" applyAlignment="1">
      <alignment wrapText="1"/>
    </xf>
    <xf numFmtId="0" fontId="8" fillId="11" borderId="0" xfId="0" applyFont="1" applyFill="1" applyAlignment="1">
      <alignment wrapText="1"/>
    </xf>
    <xf numFmtId="0" fontId="8" fillId="11" borderId="1" xfId="0" applyFont="1" applyFill="1" applyBorder="1" applyAlignment="1">
      <alignment wrapText="1"/>
    </xf>
    <xf numFmtId="0" fontId="15" fillId="0" borderId="1" xfId="0" applyFont="1" applyBorder="1" applyAlignment="1">
      <alignment wrapText="1"/>
    </xf>
    <xf numFmtId="0" fontId="15" fillId="12" borderId="1" xfId="0" applyFont="1" applyFill="1" applyBorder="1" applyAlignment="1">
      <alignment wrapText="1"/>
    </xf>
    <xf numFmtId="0" fontId="12" fillId="14" borderId="1" xfId="0" applyFont="1" applyFill="1" applyBorder="1" applyAlignment="1">
      <alignment wrapText="1"/>
    </xf>
    <xf numFmtId="0" fontId="13" fillId="0" borderId="0" xfId="0" applyFont="1" applyAlignment="1">
      <alignment wrapText="1"/>
    </xf>
    <xf numFmtId="0" fontId="4" fillId="8" borderId="1" xfId="0" applyFont="1" applyFill="1" applyBorder="1" applyAlignment="1">
      <alignment wrapText="1"/>
    </xf>
    <xf numFmtId="0" fontId="5" fillId="4" borderId="2" xfId="0" applyFont="1" applyFill="1" applyBorder="1" applyAlignment="1">
      <alignment wrapText="1"/>
    </xf>
    <xf numFmtId="0" fontId="0" fillId="6" borderId="3" xfId="0" applyFill="1" applyBorder="1" applyAlignment="1">
      <alignment wrapText="1"/>
    </xf>
    <xf numFmtId="0" fontId="0" fillId="7" borderId="1" xfId="0" applyFill="1" applyBorder="1" applyAlignment="1">
      <alignment wrapText="1"/>
    </xf>
    <xf numFmtId="0" fontId="6" fillId="7" borderId="1" xfId="0" applyFont="1" applyFill="1" applyBorder="1" applyAlignment="1">
      <alignment wrapText="1"/>
    </xf>
    <xf numFmtId="0" fontId="0" fillId="6" borderId="1" xfId="0" applyFill="1" applyBorder="1" applyAlignment="1">
      <alignment wrapText="1"/>
    </xf>
    <xf numFmtId="167" fontId="15" fillId="12" borderId="1" xfId="0" applyNumberFormat="1" applyFont="1" applyFill="1" applyBorder="1" applyAlignment="1">
      <alignment wrapText="1"/>
    </xf>
    <xf numFmtId="0" fontId="5" fillId="11" borderId="1" xfId="0" applyFont="1" applyFill="1" applyBorder="1" applyAlignment="1">
      <alignment wrapText="1"/>
    </xf>
    <xf numFmtId="0" fontId="0" fillId="11" borderId="1" xfId="0" applyFill="1" applyBorder="1" applyAlignment="1">
      <alignment wrapText="1"/>
    </xf>
    <xf numFmtId="0" fontId="6" fillId="11" borderId="1" xfId="0" applyFont="1" applyFill="1" applyBorder="1" applyAlignment="1">
      <alignment wrapText="1"/>
    </xf>
    <xf numFmtId="0" fontId="0" fillId="13" borderId="0" xfId="0" applyFill="1" applyAlignment="1">
      <alignment wrapText="1"/>
    </xf>
    <xf numFmtId="0" fontId="7" fillId="8" borderId="1" xfId="0" applyFont="1" applyFill="1" applyBorder="1" applyAlignment="1">
      <alignment wrapText="1"/>
    </xf>
    <xf numFmtId="0" fontId="8" fillId="6" borderId="1" xfId="0" applyFont="1" applyFill="1" applyBorder="1" applyAlignment="1">
      <alignment wrapText="1"/>
    </xf>
    <xf numFmtId="0" fontId="8" fillId="0" borderId="0" xfId="0" applyFont="1" applyAlignment="1">
      <alignment wrapText="1"/>
    </xf>
    <xf numFmtId="165" fontId="4" fillId="6" borderId="1" xfId="0" applyNumberFormat="1" applyFont="1" applyFill="1" applyBorder="1" applyAlignment="1">
      <alignment wrapText="1"/>
    </xf>
    <xf numFmtId="0" fontId="7" fillId="5" borderId="1" xfId="0" applyFont="1" applyFill="1" applyBorder="1" applyAlignment="1">
      <alignment wrapText="1"/>
    </xf>
    <xf numFmtId="166" fontId="4" fillId="0" borderId="1" xfId="0" applyNumberFormat="1" applyFont="1" applyBorder="1" applyAlignment="1">
      <alignment wrapText="1"/>
    </xf>
    <xf numFmtId="166" fontId="4" fillId="6" borderId="1" xfId="0" applyNumberFormat="1" applyFont="1" applyFill="1" applyBorder="1" applyAlignment="1">
      <alignment wrapText="1"/>
    </xf>
    <xf numFmtId="0" fontId="10" fillId="6" borderId="1" xfId="0" applyFont="1" applyFill="1" applyBorder="1" applyAlignment="1">
      <alignment horizontal="center" vertical="center" wrapText="1"/>
    </xf>
    <xf numFmtId="0" fontId="5" fillId="4" borderId="1" xfId="0" applyFont="1" applyFill="1" applyBorder="1" applyAlignment="1">
      <alignment horizontal="right" wrapText="1"/>
    </xf>
    <xf numFmtId="3" fontId="4" fillId="0" borderId="1" xfId="0" applyNumberFormat="1" applyFont="1" applyBorder="1" applyAlignment="1">
      <alignment wrapText="1"/>
    </xf>
    <xf numFmtId="3" fontId="7" fillId="6" borderId="1" xfId="0" applyNumberFormat="1" applyFont="1" applyFill="1" applyBorder="1" applyAlignment="1">
      <alignment wrapText="1"/>
    </xf>
    <xf numFmtId="0" fontId="6" fillId="11" borderId="3" xfId="0" applyFont="1" applyFill="1" applyBorder="1" applyAlignment="1">
      <alignment wrapText="1"/>
    </xf>
    <xf numFmtId="0" fontId="12" fillId="11" borderId="1" xfId="0" applyFont="1" applyFill="1" applyBorder="1" applyAlignment="1">
      <alignment wrapText="1"/>
    </xf>
    <xf numFmtId="0" fontId="6" fillId="0" borderId="1" xfId="0" applyFont="1" applyBorder="1" applyAlignment="1">
      <alignment wrapText="1"/>
    </xf>
    <xf numFmtId="0" fontId="8" fillId="10" borderId="1" xfId="0" applyFont="1" applyFill="1" applyBorder="1" applyAlignment="1">
      <alignment wrapText="1"/>
    </xf>
    <xf numFmtId="0" fontId="8" fillId="0" borderId="1" xfId="0" applyFont="1" applyBorder="1" applyAlignment="1">
      <alignment wrapText="1"/>
    </xf>
    <xf numFmtId="0" fontId="12" fillId="11" borderId="4" xfId="0" applyFont="1" applyFill="1" applyBorder="1" applyAlignment="1">
      <alignment wrapText="1"/>
    </xf>
    <xf numFmtId="0" fontId="12" fillId="11" borderId="5" xfId="0" applyFont="1" applyFill="1" applyBorder="1" applyAlignment="1">
      <alignment wrapText="1"/>
    </xf>
    <xf numFmtId="0" fontId="12" fillId="6" borderId="3" xfId="0" applyFont="1" applyFill="1" applyBorder="1" applyAlignment="1">
      <alignment wrapText="1"/>
    </xf>
    <xf numFmtId="0" fontId="12" fillId="6" borderId="1" xfId="0" applyFont="1" applyFill="1" applyBorder="1" applyAlignment="1">
      <alignment wrapText="1"/>
    </xf>
    <xf numFmtId="0" fontId="12" fillId="10" borderId="1" xfId="0" applyFont="1" applyFill="1" applyBorder="1" applyAlignment="1">
      <alignment wrapText="1"/>
    </xf>
    <xf numFmtId="0" fontId="12" fillId="11" borderId="3" xfId="0" applyFont="1" applyFill="1" applyBorder="1" applyAlignment="1">
      <alignment wrapText="1"/>
    </xf>
    <xf numFmtId="0" fontId="8" fillId="11" borderId="3" xfId="0" applyFont="1" applyFill="1" applyBorder="1" applyAlignment="1">
      <alignment wrapText="1"/>
    </xf>
    <xf numFmtId="0" fontId="4" fillId="6" borderId="2" xfId="0" applyFont="1" applyFill="1" applyBorder="1" applyAlignment="1">
      <alignment wrapText="1"/>
    </xf>
    <xf numFmtId="0" fontId="8" fillId="10" borderId="3" xfId="0" applyFont="1" applyFill="1" applyBorder="1" applyAlignment="1">
      <alignment wrapText="1"/>
    </xf>
    <xf numFmtId="3" fontId="8" fillId="11" borderId="1" xfId="0" applyNumberFormat="1" applyFont="1" applyFill="1" applyBorder="1" applyAlignment="1">
      <alignment wrapText="1"/>
    </xf>
    <xf numFmtId="0" fontId="0" fillId="13" borderId="1" xfId="0" applyFill="1" applyBorder="1" applyAlignment="1">
      <alignment wrapText="1"/>
    </xf>
    <xf numFmtId="0" fontId="16" fillId="0" borderId="1" xfId="0" applyFont="1" applyBorder="1"/>
    <xf numFmtId="0" fontId="5" fillId="15" borderId="1" xfId="0" applyFont="1" applyFill="1" applyBorder="1" applyAlignment="1">
      <alignment wrapText="1"/>
    </xf>
    <xf numFmtId="0" fontId="5" fillId="15" borderId="1" xfId="0" applyFont="1" applyFill="1" applyBorder="1" applyAlignment="1">
      <alignment vertical="center" wrapText="1"/>
    </xf>
    <xf numFmtId="0" fontId="16" fillId="0" borderId="1" xfId="0" applyFont="1" applyBorder="1" applyAlignment="1">
      <alignment wrapText="1"/>
    </xf>
    <xf numFmtId="0" fontId="11" fillId="0" borderId="0" xfId="0" applyFont="1" applyAlignment="1">
      <alignment wrapText="1"/>
    </xf>
    <xf numFmtId="0" fontId="17" fillId="4" borderId="6" xfId="0" applyFont="1" applyFill="1" applyBorder="1"/>
    <xf numFmtId="0" fontId="18" fillId="14" borderId="1" xfId="0" applyFont="1" applyFill="1" applyBorder="1"/>
    <xf numFmtId="0" fontId="18" fillId="14" borderId="1" xfId="0" applyFont="1" applyFill="1" applyBorder="1" applyAlignment="1">
      <alignment horizontal="center" vertical="center"/>
    </xf>
    <xf numFmtId="0" fontId="5" fillId="16" borderId="1" xfId="0" applyFont="1" applyFill="1" applyBorder="1" applyAlignment="1">
      <alignment wrapText="1"/>
    </xf>
    <xf numFmtId="0" fontId="5" fillId="16" borderId="2" xfId="0" applyFont="1" applyFill="1" applyBorder="1" applyAlignment="1">
      <alignment wrapText="1"/>
    </xf>
    <xf numFmtId="0" fontId="5" fillId="16" borderId="1" xfId="0" applyFont="1" applyFill="1" applyBorder="1" applyAlignment="1">
      <alignment vertical="center" wrapText="1"/>
    </xf>
    <xf numFmtId="0" fontId="8" fillId="17" borderId="3" xfId="0" applyFont="1" applyFill="1" applyBorder="1" applyAlignment="1">
      <alignment wrapText="1"/>
    </xf>
    <xf numFmtId="0" fontId="8" fillId="17" borderId="1" xfId="0" applyFont="1" applyFill="1" applyBorder="1" applyAlignment="1">
      <alignment wrapText="1"/>
    </xf>
    <xf numFmtId="0" fontId="19" fillId="6" borderId="1" xfId="0" applyFont="1" applyFill="1" applyBorder="1" applyAlignment="1">
      <alignment vertical="center" wrapText="1"/>
    </xf>
    <xf numFmtId="0" fontId="6" fillId="17" borderId="1" xfId="0" applyFont="1" applyFill="1" applyBorder="1" applyAlignment="1">
      <alignment wrapText="1"/>
    </xf>
    <xf numFmtId="0" fontId="12" fillId="18" borderId="1" xfId="0" applyFont="1" applyFill="1" applyBorder="1" applyAlignment="1">
      <alignment vertical="center"/>
    </xf>
    <xf numFmtId="3" fontId="4" fillId="6" borderId="1" xfId="0" applyNumberFormat="1" applyFont="1" applyFill="1" applyBorder="1" applyAlignment="1">
      <alignment wrapText="1"/>
    </xf>
    <xf numFmtId="0" fontId="12" fillId="6" borderId="1" xfId="0" applyFont="1" applyFill="1" applyBorder="1" applyAlignment="1">
      <alignment horizontal="left" vertical="center" wrapText="1"/>
    </xf>
    <xf numFmtId="0" fontId="12" fillId="19" borderId="1" xfId="0" applyFont="1" applyFill="1" applyBorder="1" applyAlignment="1">
      <alignment horizontal="left" vertical="center"/>
    </xf>
    <xf numFmtId="0" fontId="4" fillId="20" borderId="1" xfId="0" applyFont="1" applyFill="1" applyBorder="1" applyAlignment="1">
      <alignment wrapText="1"/>
    </xf>
    <xf numFmtId="0" fontId="4" fillId="19" borderId="1" xfId="0" applyFont="1" applyFill="1" applyBorder="1" applyAlignment="1">
      <alignment wrapText="1"/>
    </xf>
    <xf numFmtId="0" fontId="12" fillId="21" borderId="1" xfId="0" applyFont="1" applyFill="1" applyBorder="1" applyAlignment="1">
      <alignment horizontal="right" wrapText="1"/>
    </xf>
    <xf numFmtId="0" fontId="12" fillId="21" borderId="1" xfId="0" applyFont="1" applyFill="1" applyBorder="1" applyAlignment="1">
      <alignment wrapText="1"/>
    </xf>
    <xf numFmtId="0" fontId="6" fillId="21" borderId="1" xfId="0" applyFont="1" applyFill="1" applyBorder="1" applyAlignment="1">
      <alignment wrapText="1"/>
    </xf>
    <xf numFmtId="0" fontId="5" fillId="22" borderId="1" xfId="0" applyFont="1" applyFill="1" applyBorder="1" applyAlignment="1">
      <alignment wrapText="1"/>
    </xf>
    <xf numFmtId="0" fontId="5" fillId="22" borderId="2" xfId="0" applyFont="1" applyFill="1" applyBorder="1" applyAlignment="1">
      <alignment wrapText="1"/>
    </xf>
    <xf numFmtId="0" fontId="5" fillId="22" borderId="1" xfId="0" applyFont="1" applyFill="1" applyBorder="1" applyAlignment="1">
      <alignment vertical="center" wrapText="1"/>
    </xf>
    <xf numFmtId="0" fontId="5" fillId="23" borderId="1" xfId="0" applyFont="1" applyFill="1" applyBorder="1" applyAlignment="1">
      <alignment vertical="center" wrapText="1"/>
    </xf>
    <xf numFmtId="0" fontId="12" fillId="22" borderId="3" xfId="0" applyFont="1" applyFill="1" applyBorder="1" applyAlignment="1">
      <alignment wrapText="1"/>
    </xf>
    <xf numFmtId="0" fontId="12" fillId="22" borderId="1" xfId="0" applyFont="1" applyFill="1" applyBorder="1" applyAlignment="1">
      <alignment wrapText="1"/>
    </xf>
    <xf numFmtId="0" fontId="12" fillId="22" borderId="1" xfId="0" applyFont="1" applyFill="1" applyBorder="1" applyAlignment="1">
      <alignment horizontal="right" wrapText="1"/>
    </xf>
    <xf numFmtId="0" fontId="6" fillId="22" borderId="1" xfId="0" applyFont="1" applyFill="1" applyBorder="1" applyAlignment="1">
      <alignment wrapText="1"/>
    </xf>
    <xf numFmtId="0" fontId="7" fillId="24" borderId="1" xfId="0" applyFont="1" applyFill="1" applyBorder="1" applyAlignment="1">
      <alignment wrapText="1"/>
    </xf>
    <xf numFmtId="0" fontId="7" fillId="0" borderId="1" xfId="0" applyFont="1" applyBorder="1" applyAlignment="1">
      <alignment wrapText="1"/>
    </xf>
    <xf numFmtId="0" fontId="7" fillId="25" borderId="1" xfId="0" applyFont="1" applyFill="1" applyBorder="1" applyAlignment="1">
      <alignment wrapText="1"/>
    </xf>
    <xf numFmtId="0" fontId="7" fillId="26" borderId="1" xfId="0" applyFont="1" applyFill="1" applyBorder="1" applyAlignment="1">
      <alignment wrapText="1"/>
    </xf>
    <xf numFmtId="0" fontId="20" fillId="0" borderId="1" xfId="0" applyFont="1" applyBorder="1" applyAlignment="1">
      <alignment wrapText="1"/>
    </xf>
    <xf numFmtId="0" fontId="21" fillId="0" borderId="1" xfId="0" applyFont="1" applyBorder="1" applyAlignment="1">
      <alignment wrapText="1"/>
    </xf>
    <xf numFmtId="0" fontId="3" fillId="27" borderId="1" xfId="0" applyFont="1" applyFill="1" applyBorder="1" applyAlignment="1">
      <alignment wrapText="1"/>
    </xf>
    <xf numFmtId="0" fontId="5" fillId="27" borderId="1" xfId="0" applyFont="1" applyFill="1" applyBorder="1" applyAlignment="1">
      <alignment wrapText="1"/>
    </xf>
    <xf numFmtId="0" fontId="4" fillId="13" borderId="1" xfId="0" applyFont="1" applyFill="1" applyBorder="1" applyAlignment="1">
      <alignment wrapText="1"/>
    </xf>
    <xf numFmtId="166" fontId="4" fillId="13" borderId="1" xfId="0" applyNumberFormat="1" applyFont="1" applyFill="1" applyBorder="1" applyAlignment="1">
      <alignment wrapText="1"/>
    </xf>
    <xf numFmtId="0" fontId="20" fillId="20" borderId="1" xfId="0" applyFont="1" applyFill="1" applyBorder="1" applyAlignment="1">
      <alignment wrapText="1"/>
    </xf>
    <xf numFmtId="0" fontId="5" fillId="20" borderId="1" xfId="0" applyFont="1" applyFill="1" applyBorder="1" applyAlignment="1">
      <alignment wrapText="1"/>
    </xf>
    <xf numFmtId="0" fontId="4" fillId="28" borderId="1" xfId="0" applyFont="1" applyFill="1" applyBorder="1" applyAlignment="1">
      <alignment wrapText="1"/>
    </xf>
    <xf numFmtId="0" fontId="7" fillId="19" borderId="1" xfId="0" applyFont="1" applyFill="1" applyBorder="1" applyAlignment="1">
      <alignment wrapText="1"/>
    </xf>
    <xf numFmtId="0" fontId="0" fillId="19" borderId="0" xfId="0" applyFill="1" applyAlignment="1">
      <alignment wrapText="1"/>
    </xf>
    <xf numFmtId="0" fontId="14" fillId="0" borderId="0" xfId="0" applyFont="1" applyAlignment="1">
      <alignment vertical="top" wrapText="1"/>
    </xf>
    <xf numFmtId="0" fontId="0" fillId="0" borderId="0" xfId="0" applyAlignment="1">
      <alignment wrapText="1"/>
    </xf>
    <xf numFmtId="0" fontId="12" fillId="17" borderId="1" xfId="0" applyFont="1" applyFill="1" applyBorder="1" applyAlignment="1">
      <alignment wrapText="1"/>
    </xf>
    <xf numFmtId="0" fontId="18" fillId="31" borderId="1" xfId="0" applyFont="1" applyFill="1" applyBorder="1" applyAlignment="1">
      <alignment wrapText="1"/>
    </xf>
    <xf numFmtId="0" fontId="18" fillId="31" borderId="1" xfId="0" applyFont="1" applyFill="1" applyBorder="1"/>
    <xf numFmtId="0" fontId="6" fillId="17" borderId="3" xfId="0" applyFont="1" applyFill="1" applyBorder="1" applyAlignment="1">
      <alignment wrapText="1"/>
    </xf>
    <xf numFmtId="0" fontId="0" fillId="0" borderId="0" xfId="0" applyAlignment="1">
      <alignment horizontal="center" vertical="center"/>
    </xf>
    <xf numFmtId="0" fontId="0" fillId="0" borderId="0" xfId="0" applyAlignment="1">
      <alignment horizontal="center"/>
    </xf>
    <xf numFmtId="0" fontId="23" fillId="30" borderId="1" xfId="0" applyFont="1" applyFill="1" applyBorder="1" applyAlignment="1">
      <alignment horizontal="center" vertical="center" wrapText="1"/>
    </xf>
    <xf numFmtId="0" fontId="24" fillId="32" borderId="1" xfId="0" applyFont="1" applyFill="1" applyBorder="1"/>
    <xf numFmtId="0" fontId="24" fillId="32" borderId="1" xfId="0" applyFont="1" applyFill="1" applyBorder="1" applyAlignment="1">
      <alignment horizontal="center" vertical="center"/>
    </xf>
    <xf numFmtId="0" fontId="24" fillId="32" borderId="1" xfId="0" applyFont="1" applyFill="1" applyBorder="1" applyAlignment="1">
      <alignment horizontal="center"/>
    </xf>
    <xf numFmtId="0" fontId="25" fillId="0" borderId="0" xfId="0" applyFont="1"/>
    <xf numFmtId="0" fontId="23" fillId="20" borderId="2" xfId="0" applyFont="1" applyFill="1" applyBorder="1" applyAlignment="1">
      <alignment horizontal="center"/>
    </xf>
    <xf numFmtId="0" fontId="23" fillId="20" borderId="3" xfId="0" applyFont="1" applyFill="1" applyBorder="1" applyAlignment="1">
      <alignment horizontal="center"/>
    </xf>
    <xf numFmtId="0" fontId="0" fillId="33" borderId="7" xfId="0" applyFill="1" applyBorder="1" applyAlignment="1">
      <alignment horizontal="center" vertical="center" wrapText="1"/>
    </xf>
    <xf numFmtId="0" fontId="22" fillId="29" borderId="1" xfId="0" applyFont="1" applyFill="1" applyBorder="1" applyAlignment="1">
      <alignment horizontal="center"/>
    </xf>
    <xf numFmtId="0" fontId="0" fillId="0" borderId="1" xfId="0" applyBorder="1"/>
    <xf numFmtId="0" fontId="0" fillId="33" borderId="6" xfId="0" applyFill="1" applyBorder="1" applyAlignment="1">
      <alignment horizontal="center" vertical="center" wrapText="1"/>
    </xf>
    <xf numFmtId="0" fontId="0" fillId="0" borderId="1" xfId="0" applyBorder="1" applyAlignment="1">
      <alignment horizontal="center"/>
    </xf>
    <xf numFmtId="0" fontId="0" fillId="33" borderId="5" xfId="0" applyFill="1" applyBorder="1" applyAlignment="1">
      <alignment horizontal="center" vertical="center" wrapText="1"/>
    </xf>
    <xf numFmtId="0" fontId="0" fillId="20" borderId="2" xfId="0" applyFill="1" applyBorder="1" applyAlignment="1">
      <alignment horizontal="center"/>
    </xf>
    <xf numFmtId="0" fontId="0" fillId="20" borderId="3" xfId="0" applyFill="1" applyBorder="1" applyAlignment="1">
      <alignment horizontal="center"/>
    </xf>
    <xf numFmtId="0" fontId="0" fillId="34" borderId="7" xfId="0" applyFill="1" applyBorder="1" applyAlignment="1">
      <alignment horizontal="center" vertical="center" wrapText="1"/>
    </xf>
    <xf numFmtId="0" fontId="26" fillId="29" borderId="1" xfId="0" applyFont="1" applyFill="1" applyBorder="1" applyAlignment="1">
      <alignment horizontal="center"/>
    </xf>
    <xf numFmtId="0" fontId="0" fillId="34" borderId="6" xfId="0" applyFill="1" applyBorder="1" applyAlignment="1">
      <alignment horizontal="center" vertical="center" wrapText="1"/>
    </xf>
    <xf numFmtId="0" fontId="0" fillId="34" borderId="5" xfId="0" applyFill="1" applyBorder="1" applyAlignment="1">
      <alignment horizontal="center" vertical="center" wrapText="1"/>
    </xf>
    <xf numFmtId="0" fontId="0" fillId="35" borderId="7" xfId="0" applyFill="1" applyBorder="1" applyAlignment="1">
      <alignment horizontal="center" vertical="center"/>
    </xf>
    <xf numFmtId="0" fontId="0" fillId="35" borderId="6" xfId="0" applyFill="1" applyBorder="1" applyAlignment="1">
      <alignment horizontal="center" vertical="center"/>
    </xf>
    <xf numFmtId="0" fontId="0" fillId="35" borderId="5" xfId="0" applyFill="1" applyBorder="1" applyAlignment="1">
      <alignment horizontal="center" vertical="center"/>
    </xf>
    <xf numFmtId="0" fontId="0" fillId="36" borderId="7" xfId="0" applyFill="1" applyBorder="1" applyAlignment="1">
      <alignment horizontal="center" vertical="center" wrapText="1"/>
    </xf>
    <xf numFmtId="0" fontId="0" fillId="36" borderId="6" xfId="0" applyFill="1" applyBorder="1" applyAlignment="1">
      <alignment horizontal="center" vertical="center" wrapText="1"/>
    </xf>
    <xf numFmtId="0" fontId="0" fillId="36" borderId="5" xfId="0" applyFill="1" applyBorder="1" applyAlignment="1">
      <alignment horizontal="center" vertical="center" wrapText="1"/>
    </xf>
    <xf numFmtId="0" fontId="0" fillId="37" borderId="7" xfId="0" applyFill="1" applyBorder="1" applyAlignment="1">
      <alignment horizontal="center" vertical="center" wrapText="1"/>
    </xf>
    <xf numFmtId="0" fontId="0" fillId="37" borderId="6" xfId="0" applyFill="1" applyBorder="1" applyAlignment="1">
      <alignment horizontal="center" vertical="center" wrapText="1"/>
    </xf>
    <xf numFmtId="0" fontId="0" fillId="37" borderId="5" xfId="0" applyFill="1" applyBorder="1" applyAlignment="1">
      <alignment horizontal="center" vertical="center" wrapText="1"/>
    </xf>
    <xf numFmtId="0" fontId="0" fillId="38" borderId="7" xfId="0" applyFill="1" applyBorder="1" applyAlignment="1">
      <alignment horizontal="center" vertical="center" wrapText="1"/>
    </xf>
    <xf numFmtId="0" fontId="0" fillId="38" borderId="6" xfId="0" applyFill="1" applyBorder="1" applyAlignment="1">
      <alignment horizontal="center" vertical="center" wrapText="1"/>
    </xf>
    <xf numFmtId="0" fontId="0" fillId="38" borderId="5" xfId="0" applyFill="1" applyBorder="1" applyAlignment="1">
      <alignment horizontal="center" vertical="center" wrapText="1"/>
    </xf>
    <xf numFmtId="0" fontId="0" fillId="39" borderId="7" xfId="0" applyFill="1" applyBorder="1" applyAlignment="1">
      <alignment horizontal="center" vertical="center" wrapText="1"/>
    </xf>
    <xf numFmtId="0" fontId="0" fillId="39" borderId="6" xfId="0" applyFill="1" applyBorder="1" applyAlignment="1">
      <alignment horizontal="center" vertical="center" wrapText="1"/>
    </xf>
    <xf numFmtId="0" fontId="0" fillId="39" borderId="5" xfId="0" applyFill="1" applyBorder="1" applyAlignment="1">
      <alignment horizontal="center" vertical="center" wrapText="1"/>
    </xf>
    <xf numFmtId="0" fontId="0" fillId="40" borderId="7" xfId="0" applyFill="1" applyBorder="1" applyAlignment="1">
      <alignment horizontal="center" vertical="center" wrapText="1"/>
    </xf>
    <xf numFmtId="0" fontId="0" fillId="40" borderId="6" xfId="0" applyFill="1" applyBorder="1" applyAlignment="1">
      <alignment horizontal="center" vertical="center" wrapText="1"/>
    </xf>
    <xf numFmtId="0" fontId="0" fillId="40" borderId="5" xfId="0" applyFill="1" applyBorder="1" applyAlignment="1">
      <alignment horizontal="center" vertical="center" wrapText="1"/>
    </xf>
    <xf numFmtId="0" fontId="0" fillId="20" borderId="2" xfId="0" applyFill="1" applyBorder="1"/>
    <xf numFmtId="0" fontId="0" fillId="20" borderId="3" xfId="0" applyFill="1" applyBorder="1"/>
    <xf numFmtId="0" fontId="0" fillId="41" borderId="7" xfId="0" applyFill="1" applyBorder="1" applyAlignment="1">
      <alignment horizontal="center" vertical="center" wrapText="1"/>
    </xf>
    <xf numFmtId="0" fontId="0" fillId="41" borderId="6" xfId="0" applyFill="1" applyBorder="1" applyAlignment="1">
      <alignment horizontal="center" vertical="center" wrapText="1"/>
    </xf>
    <xf numFmtId="0" fontId="0" fillId="41" borderId="5" xfId="0" applyFill="1" applyBorder="1" applyAlignment="1">
      <alignment horizontal="center" vertical="center" wrapText="1"/>
    </xf>
    <xf numFmtId="0" fontId="0" fillId="42" borderId="7" xfId="0" applyFill="1" applyBorder="1" applyAlignment="1">
      <alignment horizontal="center" vertical="center"/>
    </xf>
    <xf numFmtId="0" fontId="0" fillId="42" borderId="6" xfId="0" applyFill="1" applyBorder="1" applyAlignment="1">
      <alignment horizontal="center" vertical="center"/>
    </xf>
    <xf numFmtId="0" fontId="0" fillId="42" borderId="5" xfId="0" applyFill="1" applyBorder="1" applyAlignment="1">
      <alignment horizontal="center" vertical="center"/>
    </xf>
    <xf numFmtId="0" fontId="0" fillId="43" borderId="7" xfId="0" applyFill="1" applyBorder="1" applyAlignment="1">
      <alignment horizontal="center" vertical="center"/>
    </xf>
    <xf numFmtId="0" fontId="0" fillId="43" borderId="5" xfId="0" applyFill="1" applyBorder="1" applyAlignment="1">
      <alignment horizontal="center" vertical="center"/>
    </xf>
    <xf numFmtId="0" fontId="0" fillId="44" borderId="7" xfId="0" applyFill="1" applyBorder="1" applyAlignment="1">
      <alignment horizontal="center" vertical="center" wrapText="1"/>
    </xf>
    <xf numFmtId="0" fontId="0" fillId="44" borderId="6" xfId="0" applyFill="1" applyBorder="1" applyAlignment="1">
      <alignment horizontal="center" vertical="center" wrapText="1"/>
    </xf>
    <xf numFmtId="0" fontId="0" fillId="44" borderId="5" xfId="0" applyFill="1" applyBorder="1" applyAlignment="1">
      <alignment horizontal="center" vertical="center" wrapText="1"/>
    </xf>
    <xf numFmtId="0" fontId="0" fillId="45" borderId="7" xfId="0" applyFill="1" applyBorder="1" applyAlignment="1">
      <alignment horizontal="center" vertical="center" wrapText="1"/>
    </xf>
    <xf numFmtId="0" fontId="0" fillId="45" borderId="6" xfId="0" applyFill="1" applyBorder="1" applyAlignment="1">
      <alignment horizontal="center" vertical="center" wrapText="1"/>
    </xf>
    <xf numFmtId="0" fontId="0" fillId="45" borderId="5" xfId="0" applyFill="1" applyBorder="1" applyAlignment="1">
      <alignment horizontal="center" vertical="center" wrapText="1"/>
    </xf>
    <xf numFmtId="0" fontId="1" fillId="46" borderId="7" xfId="0" applyFont="1" applyFill="1" applyBorder="1" applyAlignment="1">
      <alignment horizontal="center" vertical="center" wrapText="1"/>
    </xf>
    <xf numFmtId="0" fontId="1" fillId="46" borderId="6" xfId="0" applyFont="1" applyFill="1" applyBorder="1" applyAlignment="1">
      <alignment horizontal="center" vertical="center" wrapText="1"/>
    </xf>
    <xf numFmtId="0" fontId="1" fillId="46" borderId="5" xfId="0" applyFont="1" applyFill="1" applyBorder="1" applyAlignment="1">
      <alignment horizontal="center" vertical="center" wrapText="1"/>
    </xf>
    <xf numFmtId="0" fontId="27" fillId="47" borderId="7" xfId="0" applyFont="1" applyFill="1" applyBorder="1" applyAlignment="1">
      <alignment horizontal="center" vertical="center" wrapText="1"/>
    </xf>
    <xf numFmtId="0" fontId="0" fillId="47" borderId="6" xfId="0" applyFill="1" applyBorder="1" applyAlignment="1">
      <alignment horizontal="center" vertical="center" wrapText="1"/>
    </xf>
    <xf numFmtId="0" fontId="0" fillId="47" borderId="5" xfId="0" applyFill="1" applyBorder="1" applyAlignment="1">
      <alignment horizontal="center" vertical="center" wrapText="1"/>
    </xf>
  </cellXfs>
  <cellStyles count="1">
    <cellStyle name="Normal" xfId="0" builtinId="0"/>
  </cellStyles>
  <dxfs count="16">
    <dxf>
      <fill>
        <patternFill>
          <bgColor theme="2" tint="-0.249977111117893"/>
        </patternFill>
      </fill>
    </dxf>
    <dxf>
      <fill>
        <patternFill>
          <bgColor theme="0" tint="-0.14999847407452621"/>
        </patternFill>
      </fill>
    </dxf>
    <dxf>
      <fill>
        <patternFill>
          <bgColor theme="2" tint="-0.24994659260841701"/>
        </patternFill>
      </fill>
    </dxf>
    <dxf>
      <fill>
        <patternFill>
          <bgColor theme="0" tint="-0.14996795556505021"/>
        </patternFill>
      </fill>
    </dxf>
    <dxf>
      <fill>
        <patternFill>
          <bgColor theme="2" tint="-0.24994659260841701"/>
        </patternFill>
      </fill>
    </dxf>
    <dxf>
      <fill>
        <patternFill>
          <bgColor theme="0" tint="-0.14996795556505021"/>
        </patternFill>
      </fill>
    </dxf>
    <dxf>
      <fill>
        <patternFill>
          <bgColor theme="2" tint="-0.24994659260841701"/>
        </patternFill>
      </fill>
    </dxf>
    <dxf>
      <fill>
        <patternFill>
          <bgColor theme="0" tint="-0.14996795556505021"/>
        </patternFill>
      </fill>
    </dxf>
    <dxf>
      <fill>
        <patternFill>
          <bgColor theme="2" tint="-0.24994659260841701"/>
        </patternFill>
      </fill>
    </dxf>
    <dxf>
      <fill>
        <patternFill>
          <bgColor theme="0" tint="-0.14996795556505021"/>
        </patternFill>
      </fill>
    </dxf>
    <dxf>
      <fill>
        <patternFill>
          <bgColor theme="2" tint="-0.24994659260841701"/>
        </patternFill>
      </fill>
    </dxf>
    <dxf>
      <fill>
        <patternFill>
          <bgColor theme="0" tint="-0.14996795556505021"/>
        </patternFill>
      </fill>
    </dxf>
    <dxf>
      <fill>
        <patternFill>
          <bgColor theme="2" tint="-0.24994659260841701"/>
        </patternFill>
      </fill>
    </dxf>
    <dxf>
      <fill>
        <patternFill>
          <bgColor theme="0" tint="-0.14996795556505021"/>
        </patternFill>
      </fill>
    </dxf>
    <dxf>
      <fill>
        <patternFill>
          <bgColor theme="2" tint="-0.249977111117893"/>
        </patternFill>
      </fill>
    </dxf>
    <dxf>
      <fill>
        <patternFill>
          <bgColor theme="0" tint="-0.149998474074526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83CBEB"/>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3CCEB"/>
      <rgbColor rgb="FFF1A983"/>
      <rgbColor rgb="FFCC99FF"/>
      <rgbColor rgb="FFFFCC99"/>
      <rgbColor rgb="FF3366FF"/>
      <rgbColor rgb="FF33CCCC"/>
      <rgbColor rgb="FF99CC00"/>
      <rgbColor rgb="FFFFC000"/>
      <rgbColor rgb="FFFF9900"/>
      <rgbColor rgb="FFFF6600"/>
      <rgbColor rgb="FF59595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F51E650-E802-46AC-A60B-193120F1A970}">
  <we:reference id="7d3b1f24-6c9a-4a2e-9d51-1a2b3c4d5e6f" version="1.0.1.3" store="EXCatalog" storeType="EXCatalog"/>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983"/>
  <sheetViews>
    <sheetView tabSelected="1" zoomScale="45" zoomScaleNormal="40" workbookViewId="0">
      <pane xSplit="3" ySplit="3" topLeftCell="F4" activePane="bottomRight" state="frozen"/>
      <selection pane="topRight" activeCell="H1" sqref="H1"/>
      <selection pane="bottomLeft" activeCell="A2" sqref="A2"/>
      <selection pane="bottomRight" activeCell="J235" sqref="J235"/>
    </sheetView>
  </sheetViews>
  <sheetFormatPr defaultColWidth="12.6328125" defaultRowHeight="14.5" x14ac:dyDescent="0.35"/>
  <cols>
    <col min="1" max="1" width="9.90625" style="1" customWidth="1"/>
    <col min="2" max="2" width="17.7265625" style="1" customWidth="1"/>
    <col min="3" max="3" width="59.54296875" style="1" customWidth="1"/>
    <col min="4" max="4" width="39.453125" style="1" customWidth="1"/>
    <col min="5" max="5" width="15.1796875" style="1" customWidth="1"/>
    <col min="6" max="6" width="31.90625" style="1" customWidth="1"/>
    <col min="7" max="7" width="35.90625" style="1" customWidth="1"/>
    <col min="8" max="8" width="21.7265625" style="1" customWidth="1"/>
    <col min="9" max="9" width="29.453125" style="1" customWidth="1"/>
    <col min="10" max="10" width="23.81640625" style="1" customWidth="1"/>
    <col min="11" max="11" width="21.1796875" style="1" customWidth="1"/>
    <col min="12" max="12" width="19.36328125" style="1" hidden="1" customWidth="1"/>
    <col min="13" max="13" width="42.453125" style="1" customWidth="1"/>
    <col min="14" max="14" width="22" style="1" hidden="1" customWidth="1"/>
    <col min="15" max="15" width="19.7265625" style="1" customWidth="1"/>
    <col min="16" max="16" width="35.7265625" style="1" customWidth="1"/>
    <col min="17" max="1999" width="12.6328125" style="1"/>
    <col min="2000" max="2000" width="2.453125" style="1" customWidth="1"/>
    <col min="2001" max="16384" width="12.6328125" style="1"/>
  </cols>
  <sheetData>
    <row r="1" spans="1:16" ht="19.5" customHeight="1" x14ac:dyDescent="0.4">
      <c r="A1" s="31" t="s">
        <v>635</v>
      </c>
    </row>
    <row r="2" spans="1:16" ht="30" customHeight="1" x14ac:dyDescent="0.35">
      <c r="A2" s="117" t="s">
        <v>636</v>
      </c>
      <c r="B2" s="118"/>
      <c r="C2" s="118"/>
      <c r="D2" s="118"/>
      <c r="E2" s="118"/>
      <c r="F2" s="118"/>
      <c r="G2" s="118"/>
      <c r="H2" s="118"/>
      <c r="I2" s="118"/>
      <c r="J2" s="118"/>
      <c r="K2" s="118"/>
      <c r="L2" s="118"/>
      <c r="M2" s="118"/>
    </row>
    <row r="3" spans="1:16" ht="39" customHeight="1" x14ac:dyDescent="0.35">
      <c r="A3" s="2" t="s">
        <v>0</v>
      </c>
      <c r="B3" s="2" t="s">
        <v>1</v>
      </c>
      <c r="C3" s="2" t="s">
        <v>2</v>
      </c>
      <c r="D3" s="2" t="s">
        <v>3</v>
      </c>
      <c r="E3" s="2" t="s">
        <v>4</v>
      </c>
      <c r="F3" s="3" t="s">
        <v>5</v>
      </c>
      <c r="G3" s="3" t="s">
        <v>6</v>
      </c>
      <c r="H3" s="3" t="s">
        <v>7</v>
      </c>
      <c r="I3" s="3" t="s">
        <v>8</v>
      </c>
      <c r="J3" s="3" t="s">
        <v>9</v>
      </c>
      <c r="K3" s="3" t="s">
        <v>10</v>
      </c>
      <c r="L3" s="3" t="s">
        <v>11</v>
      </c>
      <c r="M3" s="3" t="s">
        <v>12</v>
      </c>
      <c r="N3" s="3" t="s">
        <v>13</v>
      </c>
      <c r="O3" s="3" t="s">
        <v>14</v>
      </c>
      <c r="P3" s="3" t="s">
        <v>15</v>
      </c>
    </row>
    <row r="4" spans="1:16" ht="40" customHeight="1" x14ac:dyDescent="0.35">
      <c r="A4" s="4">
        <f t="shared" ref="A4:A67" si="0">ROW()-3</f>
        <v>1</v>
      </c>
      <c r="B4" s="4" t="s">
        <v>16</v>
      </c>
      <c r="C4" s="4" t="s">
        <v>17</v>
      </c>
      <c r="D4" s="5" t="s">
        <v>18</v>
      </c>
      <c r="E4" s="5" t="s">
        <v>19</v>
      </c>
      <c r="F4" s="6" t="s">
        <v>20</v>
      </c>
      <c r="G4" s="6" t="s">
        <v>21</v>
      </c>
      <c r="H4" s="6" t="s">
        <v>22</v>
      </c>
      <c r="I4" s="6" t="s">
        <v>23</v>
      </c>
      <c r="J4" s="28">
        <v>10000</v>
      </c>
      <c r="K4" s="6"/>
      <c r="L4" s="7"/>
      <c r="M4" s="8" t="s">
        <v>24</v>
      </c>
      <c r="N4" s="6" t="s">
        <v>25</v>
      </c>
      <c r="O4" s="9"/>
      <c r="P4" s="90">
        <v>3</v>
      </c>
    </row>
    <row r="5" spans="1:16" ht="84" customHeight="1" x14ac:dyDescent="0.35">
      <c r="A5" s="4">
        <f t="shared" si="0"/>
        <v>2</v>
      </c>
      <c r="B5" s="4" t="s">
        <v>16</v>
      </c>
      <c r="C5" s="4" t="s">
        <v>26</v>
      </c>
      <c r="D5" s="5" t="s">
        <v>27</v>
      </c>
      <c r="E5" s="5" t="s">
        <v>19</v>
      </c>
      <c r="F5" s="6" t="s">
        <v>20</v>
      </c>
      <c r="G5" s="6" t="s">
        <v>28</v>
      </c>
      <c r="H5" s="6" t="s">
        <v>22</v>
      </c>
      <c r="I5" s="6" t="s">
        <v>23</v>
      </c>
      <c r="J5" s="28">
        <v>20000</v>
      </c>
      <c r="K5" s="6"/>
      <c r="L5" s="7"/>
      <c r="M5" s="7"/>
      <c r="N5" s="6" t="s">
        <v>29</v>
      </c>
      <c r="O5" s="9"/>
      <c r="P5" s="90">
        <v>3</v>
      </c>
    </row>
    <row r="6" spans="1:16" ht="111.75" customHeight="1" x14ac:dyDescent="0.35">
      <c r="A6" s="4">
        <f t="shared" si="0"/>
        <v>3</v>
      </c>
      <c r="B6" s="4" t="s">
        <v>16</v>
      </c>
      <c r="C6" s="4" t="s">
        <v>30</v>
      </c>
      <c r="D6" s="5" t="s">
        <v>31</v>
      </c>
      <c r="E6" s="5" t="s">
        <v>19</v>
      </c>
      <c r="F6" s="6" t="s">
        <v>20</v>
      </c>
      <c r="G6" s="6" t="s">
        <v>28</v>
      </c>
      <c r="H6" s="6" t="s">
        <v>22</v>
      </c>
      <c r="I6" s="6" t="s">
        <v>23</v>
      </c>
      <c r="J6" s="28">
        <v>20000</v>
      </c>
      <c r="K6" s="6"/>
      <c r="L6" s="7"/>
      <c r="M6" s="7"/>
      <c r="N6" s="6" t="s">
        <v>29</v>
      </c>
      <c r="O6" s="9"/>
      <c r="P6" s="90">
        <v>3</v>
      </c>
    </row>
    <row r="7" spans="1:16" ht="237.75" customHeight="1" x14ac:dyDescent="0.35">
      <c r="A7" s="4">
        <f t="shared" si="0"/>
        <v>4</v>
      </c>
      <c r="B7" s="4" t="s">
        <v>16</v>
      </c>
      <c r="C7" s="4" t="s">
        <v>32</v>
      </c>
      <c r="D7" s="5" t="s">
        <v>33</v>
      </c>
      <c r="E7" s="5" t="s">
        <v>19</v>
      </c>
      <c r="F7" s="6" t="s">
        <v>20</v>
      </c>
      <c r="G7" s="6" t="s">
        <v>28</v>
      </c>
      <c r="H7" s="6" t="s">
        <v>22</v>
      </c>
      <c r="I7" s="6" t="s">
        <v>23</v>
      </c>
      <c r="J7" s="28">
        <v>10000</v>
      </c>
      <c r="K7" s="6"/>
      <c r="L7" s="7"/>
      <c r="M7" s="7"/>
      <c r="N7" s="6" t="s">
        <v>29</v>
      </c>
      <c r="O7" s="9"/>
      <c r="P7" s="90">
        <v>3</v>
      </c>
    </row>
    <row r="8" spans="1:16" ht="223.5" customHeight="1" x14ac:dyDescent="0.35">
      <c r="A8" s="4">
        <f t="shared" si="0"/>
        <v>5</v>
      </c>
      <c r="B8" s="4" t="s">
        <v>16</v>
      </c>
      <c r="C8" s="4" t="s">
        <v>34</v>
      </c>
      <c r="D8" s="5" t="s">
        <v>35</v>
      </c>
      <c r="E8" s="5" t="s">
        <v>19</v>
      </c>
      <c r="F8" s="6" t="s">
        <v>20</v>
      </c>
      <c r="G8" s="6" t="s">
        <v>28</v>
      </c>
      <c r="H8" s="6" t="s">
        <v>22</v>
      </c>
      <c r="I8" s="6" t="s">
        <v>23</v>
      </c>
      <c r="J8" s="28">
        <v>10000</v>
      </c>
      <c r="K8" s="6"/>
      <c r="L8" s="7"/>
      <c r="M8" s="7"/>
      <c r="N8" s="6" t="s">
        <v>29</v>
      </c>
      <c r="O8" s="9"/>
      <c r="P8" s="90">
        <v>3</v>
      </c>
    </row>
    <row r="9" spans="1:16" ht="126" customHeight="1" x14ac:dyDescent="0.35">
      <c r="A9" s="4">
        <f t="shared" si="0"/>
        <v>6</v>
      </c>
      <c r="B9" s="4" t="s">
        <v>16</v>
      </c>
      <c r="C9" s="4" t="s">
        <v>36</v>
      </c>
      <c r="D9" s="5" t="s">
        <v>37</v>
      </c>
      <c r="E9" s="5" t="s">
        <v>19</v>
      </c>
      <c r="F9" s="6" t="s">
        <v>20</v>
      </c>
      <c r="G9" s="6" t="s">
        <v>28</v>
      </c>
      <c r="H9" s="6" t="s">
        <v>22</v>
      </c>
      <c r="I9" s="6" t="s">
        <v>23</v>
      </c>
      <c r="J9" s="28">
        <v>10000</v>
      </c>
      <c r="K9" s="6"/>
      <c r="L9" s="7"/>
      <c r="M9" s="7"/>
      <c r="N9" s="6" t="s">
        <v>29</v>
      </c>
      <c r="O9" s="9"/>
      <c r="P9" s="90">
        <v>3</v>
      </c>
    </row>
    <row r="10" spans="1:16" ht="126" customHeight="1" x14ac:dyDescent="0.35">
      <c r="A10" s="4">
        <f t="shared" si="0"/>
        <v>7</v>
      </c>
      <c r="B10" s="4" t="s">
        <v>16</v>
      </c>
      <c r="C10" s="4" t="s">
        <v>38</v>
      </c>
      <c r="D10" s="5" t="s">
        <v>39</v>
      </c>
      <c r="E10" s="5" t="s">
        <v>19</v>
      </c>
      <c r="F10" s="6" t="s">
        <v>20</v>
      </c>
      <c r="G10" s="6" t="s">
        <v>28</v>
      </c>
      <c r="H10" s="6" t="s">
        <v>22</v>
      </c>
      <c r="I10" s="6" t="s">
        <v>23</v>
      </c>
      <c r="J10" s="28">
        <v>10000</v>
      </c>
      <c r="K10" s="6"/>
      <c r="L10" s="7"/>
      <c r="M10" s="7"/>
      <c r="N10" s="6" t="s">
        <v>29</v>
      </c>
      <c r="O10" s="9"/>
      <c r="P10" s="90">
        <v>3</v>
      </c>
    </row>
    <row r="11" spans="1:16" ht="111.75" customHeight="1" x14ac:dyDescent="0.35">
      <c r="A11" s="4">
        <f t="shared" si="0"/>
        <v>8</v>
      </c>
      <c r="B11" s="4" t="s">
        <v>16</v>
      </c>
      <c r="C11" s="4" t="s">
        <v>40</v>
      </c>
      <c r="D11" s="5" t="s">
        <v>41</v>
      </c>
      <c r="E11" s="5" t="s">
        <v>19</v>
      </c>
      <c r="F11" s="6" t="s">
        <v>20</v>
      </c>
      <c r="G11" s="6" t="s">
        <v>42</v>
      </c>
      <c r="H11" s="6" t="s">
        <v>22</v>
      </c>
      <c r="I11" s="6" t="s">
        <v>23</v>
      </c>
      <c r="J11" s="28">
        <v>20000</v>
      </c>
      <c r="K11" s="6"/>
      <c r="L11" s="7"/>
      <c r="M11" s="8" t="s">
        <v>43</v>
      </c>
      <c r="N11" s="6" t="s">
        <v>25</v>
      </c>
      <c r="O11" s="9"/>
      <c r="P11" s="90">
        <v>3</v>
      </c>
    </row>
    <row r="12" spans="1:16" ht="168" customHeight="1" x14ac:dyDescent="0.35">
      <c r="A12" s="4">
        <f t="shared" si="0"/>
        <v>9</v>
      </c>
      <c r="B12" s="4" t="s">
        <v>16</v>
      </c>
      <c r="C12" s="4" t="s">
        <v>44</v>
      </c>
      <c r="D12" s="5" t="s">
        <v>45</v>
      </c>
      <c r="E12" s="5" t="s">
        <v>19</v>
      </c>
      <c r="F12" s="6" t="s">
        <v>20</v>
      </c>
      <c r="G12" s="6" t="s">
        <v>42</v>
      </c>
      <c r="H12" s="6" t="s">
        <v>22</v>
      </c>
      <c r="I12" s="6" t="s">
        <v>23</v>
      </c>
      <c r="J12" s="28">
        <v>10000</v>
      </c>
      <c r="K12" s="6"/>
      <c r="L12" s="7"/>
      <c r="M12" s="8" t="s">
        <v>46</v>
      </c>
      <c r="N12" s="6" t="s">
        <v>25</v>
      </c>
      <c r="O12" s="9"/>
      <c r="P12" s="90">
        <v>3</v>
      </c>
    </row>
    <row r="13" spans="1:16" ht="97.5" customHeight="1" x14ac:dyDescent="0.35">
      <c r="A13" s="4">
        <f t="shared" si="0"/>
        <v>10</v>
      </c>
      <c r="B13" s="4" t="s">
        <v>16</v>
      </c>
      <c r="C13" s="4" t="s">
        <v>47</v>
      </c>
      <c r="D13" s="5" t="s">
        <v>48</v>
      </c>
      <c r="E13" s="5" t="s">
        <v>19</v>
      </c>
      <c r="F13" s="8" t="s">
        <v>49</v>
      </c>
      <c r="G13" s="8" t="s">
        <v>50</v>
      </c>
      <c r="H13" s="6" t="s">
        <v>22</v>
      </c>
      <c r="I13" s="6" t="s">
        <v>51</v>
      </c>
      <c r="J13" s="9"/>
      <c r="K13" s="9"/>
      <c r="L13" s="8" t="s">
        <v>52</v>
      </c>
      <c r="M13" s="7"/>
      <c r="N13" s="6" t="s">
        <v>29</v>
      </c>
      <c r="O13" s="9"/>
      <c r="P13" s="90">
        <v>3</v>
      </c>
    </row>
    <row r="14" spans="1:16" ht="97.5" customHeight="1" x14ac:dyDescent="0.35">
      <c r="A14" s="4">
        <f t="shared" si="0"/>
        <v>11</v>
      </c>
      <c r="B14" s="4" t="s">
        <v>16</v>
      </c>
      <c r="C14" s="4" t="s">
        <v>53</v>
      </c>
      <c r="D14" s="5" t="s">
        <v>54</v>
      </c>
      <c r="E14" s="5" t="s">
        <v>19</v>
      </c>
      <c r="F14" s="9"/>
      <c r="G14" s="9"/>
      <c r="H14" s="6" t="s">
        <v>22</v>
      </c>
      <c r="I14" s="6" t="s">
        <v>51</v>
      </c>
      <c r="J14" s="9"/>
      <c r="K14" s="9"/>
      <c r="L14" s="9"/>
      <c r="M14" s="7"/>
      <c r="N14" s="6" t="s">
        <v>29</v>
      </c>
      <c r="O14" s="9"/>
      <c r="P14" s="90">
        <v>3</v>
      </c>
    </row>
    <row r="15" spans="1:16" ht="153.75" customHeight="1" x14ac:dyDescent="0.35">
      <c r="A15" s="4">
        <f t="shared" si="0"/>
        <v>12</v>
      </c>
      <c r="B15" s="4" t="s">
        <v>16</v>
      </c>
      <c r="C15" s="4" t="s">
        <v>55</v>
      </c>
      <c r="D15" s="5" t="s">
        <v>56</v>
      </c>
      <c r="E15" s="5" t="s">
        <v>19</v>
      </c>
      <c r="F15" s="9"/>
      <c r="G15" s="9"/>
      <c r="H15" s="6" t="s">
        <v>22</v>
      </c>
      <c r="I15" s="6" t="s">
        <v>51</v>
      </c>
      <c r="J15" s="9"/>
      <c r="K15" s="9"/>
      <c r="L15" s="9"/>
      <c r="M15" s="7"/>
      <c r="N15" s="6" t="s">
        <v>29</v>
      </c>
      <c r="O15" s="9"/>
      <c r="P15" s="90">
        <v>3</v>
      </c>
    </row>
    <row r="16" spans="1:16" ht="69.75" customHeight="1" x14ac:dyDescent="0.35">
      <c r="A16" s="4">
        <f t="shared" si="0"/>
        <v>13</v>
      </c>
      <c r="B16" s="4" t="s">
        <v>16</v>
      </c>
      <c r="C16" s="4" t="s">
        <v>57</v>
      </c>
      <c r="D16" s="5" t="s">
        <v>58</v>
      </c>
      <c r="E16" s="5" t="s">
        <v>19</v>
      </c>
      <c r="F16" s="9"/>
      <c r="G16" s="9"/>
      <c r="H16" s="6" t="s">
        <v>22</v>
      </c>
      <c r="I16" s="6" t="s">
        <v>51</v>
      </c>
      <c r="J16" s="9"/>
      <c r="K16" s="9"/>
      <c r="L16" s="9"/>
      <c r="M16" s="7"/>
      <c r="N16" s="6" t="s">
        <v>29</v>
      </c>
      <c r="O16" s="9"/>
      <c r="P16" s="90">
        <v>3</v>
      </c>
    </row>
    <row r="17" spans="1:16" ht="195.75" customHeight="1" x14ac:dyDescent="0.35">
      <c r="A17" s="4">
        <f t="shared" si="0"/>
        <v>14</v>
      </c>
      <c r="B17" s="4" t="s">
        <v>16</v>
      </c>
      <c r="C17" s="4" t="s">
        <v>59</v>
      </c>
      <c r="D17" s="5" t="s">
        <v>60</v>
      </c>
      <c r="E17" s="5" t="s">
        <v>19</v>
      </c>
      <c r="F17" s="8" t="s">
        <v>61</v>
      </c>
      <c r="G17" s="8" t="s">
        <v>62</v>
      </c>
      <c r="H17" s="6" t="s">
        <v>22</v>
      </c>
      <c r="I17" s="6" t="s">
        <v>51</v>
      </c>
      <c r="J17" s="9"/>
      <c r="K17" s="9"/>
      <c r="L17" s="9"/>
      <c r="M17" s="7"/>
      <c r="N17" s="6" t="s">
        <v>29</v>
      </c>
      <c r="O17" s="9"/>
      <c r="P17" s="90">
        <v>3</v>
      </c>
    </row>
    <row r="18" spans="1:16" ht="409.5" customHeight="1" x14ac:dyDescent="0.35">
      <c r="A18" s="4">
        <f t="shared" si="0"/>
        <v>15</v>
      </c>
      <c r="B18" s="4" t="s">
        <v>16</v>
      </c>
      <c r="C18" s="4" t="s">
        <v>63</v>
      </c>
      <c r="D18" s="5" t="s">
        <v>64</v>
      </c>
      <c r="E18" s="5" t="s">
        <v>19</v>
      </c>
      <c r="F18" s="9"/>
      <c r="G18" s="9"/>
      <c r="H18" s="6" t="s">
        <v>65</v>
      </c>
      <c r="I18" s="6" t="s">
        <v>51</v>
      </c>
      <c r="J18" s="9"/>
      <c r="K18" s="9"/>
      <c r="L18" s="9"/>
      <c r="M18" s="7"/>
      <c r="N18" s="6" t="s">
        <v>29</v>
      </c>
      <c r="O18" s="9"/>
      <c r="P18" s="90">
        <v>3</v>
      </c>
    </row>
    <row r="19" spans="1:16" ht="139.5" customHeight="1" x14ac:dyDescent="0.35">
      <c r="A19" s="4">
        <f t="shared" si="0"/>
        <v>16</v>
      </c>
      <c r="B19" s="4" t="s">
        <v>16</v>
      </c>
      <c r="C19" s="4" t="s">
        <v>66</v>
      </c>
      <c r="D19" s="5" t="s">
        <v>67</v>
      </c>
      <c r="E19" s="5" t="s">
        <v>19</v>
      </c>
      <c r="F19" s="9"/>
      <c r="G19" s="9"/>
      <c r="H19" s="6" t="s">
        <v>22</v>
      </c>
      <c r="I19" s="6" t="s">
        <v>51</v>
      </c>
      <c r="J19" s="9"/>
      <c r="K19" s="9"/>
      <c r="L19" s="9"/>
      <c r="M19" s="7"/>
      <c r="N19" s="6" t="s">
        <v>29</v>
      </c>
      <c r="O19" s="9"/>
      <c r="P19" s="90">
        <v>3</v>
      </c>
    </row>
    <row r="20" spans="1:16" ht="42" customHeight="1" x14ac:dyDescent="0.35">
      <c r="A20" s="4">
        <f t="shared" si="0"/>
        <v>17</v>
      </c>
      <c r="B20" s="4" t="s">
        <v>16</v>
      </c>
      <c r="C20" s="4" t="s">
        <v>68</v>
      </c>
      <c r="D20" s="5" t="s">
        <v>69</v>
      </c>
      <c r="E20" s="5" t="s">
        <v>19</v>
      </c>
      <c r="F20" s="9"/>
      <c r="G20" s="9"/>
      <c r="H20" s="6" t="s">
        <v>22</v>
      </c>
      <c r="I20" s="6" t="s">
        <v>70</v>
      </c>
      <c r="J20" s="9"/>
      <c r="K20" s="9"/>
      <c r="L20" s="9"/>
      <c r="M20" s="7"/>
      <c r="N20" s="6" t="s">
        <v>29</v>
      </c>
      <c r="O20" s="9"/>
      <c r="P20" s="90">
        <v>3</v>
      </c>
    </row>
    <row r="21" spans="1:16" ht="168" customHeight="1" x14ac:dyDescent="0.35">
      <c r="A21" s="4">
        <f t="shared" si="0"/>
        <v>18</v>
      </c>
      <c r="B21" s="4" t="s">
        <v>16</v>
      </c>
      <c r="C21" s="4" t="s">
        <v>71</v>
      </c>
      <c r="D21" s="5" t="s">
        <v>72</v>
      </c>
      <c r="E21" s="5" t="s">
        <v>19</v>
      </c>
      <c r="F21" s="9"/>
      <c r="G21" s="9"/>
      <c r="H21" s="6" t="s">
        <v>65</v>
      </c>
      <c r="I21" s="6" t="s">
        <v>51</v>
      </c>
      <c r="J21" s="9"/>
      <c r="K21" s="9"/>
      <c r="L21" s="9"/>
      <c r="M21" s="7"/>
      <c r="N21" s="6" t="s">
        <v>29</v>
      </c>
      <c r="O21" s="9"/>
      <c r="P21" s="90">
        <v>3</v>
      </c>
    </row>
    <row r="22" spans="1:16" ht="153.75" customHeight="1" x14ac:dyDescent="0.35">
      <c r="A22" s="4">
        <f t="shared" si="0"/>
        <v>19</v>
      </c>
      <c r="B22" s="4" t="s">
        <v>16</v>
      </c>
      <c r="C22" s="4" t="s">
        <v>73</v>
      </c>
      <c r="D22" s="5" t="s">
        <v>74</v>
      </c>
      <c r="E22" s="5" t="s">
        <v>19</v>
      </c>
      <c r="F22" s="9"/>
      <c r="G22" s="9"/>
      <c r="H22" s="6" t="s">
        <v>22</v>
      </c>
      <c r="I22" s="6" t="s">
        <v>51</v>
      </c>
      <c r="J22" s="9"/>
      <c r="K22" s="9"/>
      <c r="L22" s="9"/>
      <c r="M22" s="7"/>
      <c r="N22" s="6" t="s">
        <v>29</v>
      </c>
      <c r="O22" s="9"/>
      <c r="P22" s="90">
        <v>3</v>
      </c>
    </row>
    <row r="23" spans="1:16" ht="126" customHeight="1" x14ac:dyDescent="0.35">
      <c r="A23" s="4">
        <f t="shared" si="0"/>
        <v>20</v>
      </c>
      <c r="B23" s="4" t="s">
        <v>16</v>
      </c>
      <c r="C23" s="4" t="s">
        <v>75</v>
      </c>
      <c r="D23" s="5" t="s">
        <v>76</v>
      </c>
      <c r="E23" s="5" t="s">
        <v>19</v>
      </c>
      <c r="F23" s="9"/>
      <c r="G23" s="9"/>
      <c r="H23" s="6" t="s">
        <v>22</v>
      </c>
      <c r="I23" s="6" t="s">
        <v>51</v>
      </c>
      <c r="J23" s="9"/>
      <c r="K23" s="9"/>
      <c r="L23" s="9"/>
      <c r="M23" s="7"/>
      <c r="N23" s="6" t="s">
        <v>29</v>
      </c>
      <c r="O23" s="9"/>
      <c r="P23" s="90">
        <v>3</v>
      </c>
    </row>
    <row r="24" spans="1:16" ht="69.75" customHeight="1" x14ac:dyDescent="0.35">
      <c r="A24" s="4">
        <f t="shared" si="0"/>
        <v>21</v>
      </c>
      <c r="B24" s="4" t="s">
        <v>16</v>
      </c>
      <c r="C24" s="10" t="s">
        <v>77</v>
      </c>
      <c r="D24" s="5" t="s">
        <v>78</v>
      </c>
      <c r="E24" s="5" t="s">
        <v>19</v>
      </c>
      <c r="F24" s="9"/>
      <c r="G24" s="9"/>
      <c r="H24" s="6" t="s">
        <v>22</v>
      </c>
      <c r="I24" s="6" t="s">
        <v>51</v>
      </c>
      <c r="J24" s="9"/>
      <c r="K24" s="9"/>
      <c r="L24" s="9"/>
      <c r="M24" s="7"/>
      <c r="N24" s="6" t="s">
        <v>29</v>
      </c>
      <c r="O24" s="9"/>
      <c r="P24" s="90">
        <v>3</v>
      </c>
    </row>
    <row r="25" spans="1:16" ht="55.5" customHeight="1" x14ac:dyDescent="0.35">
      <c r="A25" s="18">
        <f t="shared" si="0"/>
        <v>22</v>
      </c>
      <c r="B25" s="18" t="s">
        <v>16</v>
      </c>
      <c r="C25" s="33" t="s">
        <v>79</v>
      </c>
      <c r="D25" s="11" t="s">
        <v>80</v>
      </c>
      <c r="E25" s="34" t="s">
        <v>81</v>
      </c>
      <c r="F25" s="35"/>
      <c r="G25" s="35"/>
      <c r="H25" s="35"/>
      <c r="I25" s="35"/>
      <c r="J25" s="35"/>
      <c r="K25" s="35"/>
      <c r="L25" s="35"/>
      <c r="M25" s="36"/>
      <c r="N25" s="37" t="s">
        <v>25</v>
      </c>
      <c r="O25" s="35"/>
      <c r="P25" s="116">
        <v>3</v>
      </c>
    </row>
    <row r="26" spans="1:16" ht="69.75" customHeight="1" x14ac:dyDescent="0.35">
      <c r="A26" s="4">
        <f t="shared" si="0"/>
        <v>23</v>
      </c>
      <c r="B26" s="4" t="s">
        <v>16</v>
      </c>
      <c r="C26" s="12" t="s">
        <v>82</v>
      </c>
      <c r="D26" s="5" t="s">
        <v>83</v>
      </c>
      <c r="E26" s="5" t="s">
        <v>19</v>
      </c>
      <c r="F26" s="9"/>
      <c r="G26" s="9"/>
      <c r="H26" s="9"/>
      <c r="I26" s="9"/>
      <c r="J26" s="9"/>
      <c r="K26" s="9"/>
      <c r="L26" s="9"/>
      <c r="M26" s="7"/>
      <c r="N26" s="6" t="s">
        <v>25</v>
      </c>
      <c r="O26" s="9"/>
      <c r="P26" s="90">
        <v>3</v>
      </c>
    </row>
    <row r="27" spans="1:16" ht="69.75" customHeight="1" x14ac:dyDescent="0.35">
      <c r="A27" s="4">
        <f t="shared" si="0"/>
        <v>24</v>
      </c>
      <c r="B27" s="4" t="s">
        <v>16</v>
      </c>
      <c r="C27" s="4" t="s">
        <v>84</v>
      </c>
      <c r="D27" s="11" t="s">
        <v>85</v>
      </c>
      <c r="E27" s="5" t="s">
        <v>19</v>
      </c>
      <c r="F27" s="9"/>
      <c r="G27" s="9"/>
      <c r="H27" s="9"/>
      <c r="I27" s="9"/>
      <c r="J27" s="9"/>
      <c r="K27" s="9"/>
      <c r="L27" s="9"/>
      <c r="M27" s="7"/>
      <c r="N27" s="6" t="s">
        <v>25</v>
      </c>
      <c r="O27" s="9"/>
      <c r="P27" s="90">
        <v>3</v>
      </c>
    </row>
    <row r="28" spans="1:16" ht="42" hidden="1" customHeight="1" x14ac:dyDescent="0.35">
      <c r="A28" s="4">
        <f t="shared" si="0"/>
        <v>25</v>
      </c>
      <c r="B28" s="4" t="s">
        <v>16</v>
      </c>
      <c r="C28" s="4" t="s">
        <v>86</v>
      </c>
      <c r="D28" s="5" t="s">
        <v>87</v>
      </c>
      <c r="E28" s="5" t="s">
        <v>88</v>
      </c>
      <c r="F28" s="8" t="s">
        <v>89</v>
      </c>
      <c r="G28" s="8" t="s">
        <v>90</v>
      </c>
      <c r="H28" s="9"/>
      <c r="I28" s="8" t="s">
        <v>23</v>
      </c>
      <c r="J28" s="29" t="s">
        <v>637</v>
      </c>
      <c r="K28" s="9"/>
      <c r="L28" s="9"/>
      <c r="M28" s="7"/>
      <c r="N28" s="6" t="s">
        <v>25</v>
      </c>
      <c r="O28" s="9"/>
      <c r="P28" s="32">
        <v>3</v>
      </c>
    </row>
    <row r="29" spans="1:16" ht="42" hidden="1" customHeight="1" x14ac:dyDescent="0.35">
      <c r="A29" s="4">
        <f t="shared" si="0"/>
        <v>26</v>
      </c>
      <c r="B29" s="4" t="s">
        <v>16</v>
      </c>
      <c r="C29" s="12" t="s">
        <v>91</v>
      </c>
      <c r="D29" s="5" t="s">
        <v>92</v>
      </c>
      <c r="E29" s="5" t="s">
        <v>93</v>
      </c>
      <c r="F29" s="9"/>
      <c r="G29" s="9"/>
      <c r="H29" s="9"/>
      <c r="I29" s="9"/>
      <c r="J29" s="9"/>
      <c r="K29" s="9"/>
      <c r="L29" s="9"/>
      <c r="M29" s="7"/>
      <c r="N29" s="6" t="s">
        <v>25</v>
      </c>
      <c r="O29" s="9"/>
      <c r="P29" s="32">
        <v>3</v>
      </c>
    </row>
    <row r="30" spans="1:16" ht="27.75" hidden="1" customHeight="1" x14ac:dyDescent="0.35">
      <c r="A30" s="4">
        <f t="shared" si="0"/>
        <v>27</v>
      </c>
      <c r="B30" s="4" t="s">
        <v>16</v>
      </c>
      <c r="C30" s="12" t="s">
        <v>94</v>
      </c>
      <c r="D30" s="5" t="s">
        <v>95</v>
      </c>
      <c r="E30" s="5" t="s">
        <v>93</v>
      </c>
      <c r="F30" s="9"/>
      <c r="G30" s="9"/>
      <c r="H30" s="9"/>
      <c r="I30" s="9"/>
      <c r="J30" s="9"/>
      <c r="K30" s="9"/>
      <c r="L30" s="9"/>
      <c r="M30" s="7"/>
      <c r="N30" s="6" t="s">
        <v>25</v>
      </c>
      <c r="O30" s="9"/>
      <c r="P30" s="32">
        <v>3</v>
      </c>
    </row>
    <row r="31" spans="1:16" ht="55.5" customHeight="1" x14ac:dyDescent="0.35">
      <c r="A31" s="4">
        <f t="shared" si="0"/>
        <v>28</v>
      </c>
      <c r="B31" s="4" t="s">
        <v>16</v>
      </c>
      <c r="C31" s="4" t="s">
        <v>96</v>
      </c>
      <c r="D31" s="5" t="s">
        <v>97</v>
      </c>
      <c r="E31" s="5" t="s">
        <v>19</v>
      </c>
      <c r="F31" s="9"/>
      <c r="G31" s="9"/>
      <c r="H31" s="9"/>
      <c r="I31" s="9"/>
      <c r="J31" s="9"/>
      <c r="K31" s="9"/>
      <c r="L31" s="9"/>
      <c r="M31" s="7"/>
      <c r="N31" s="6" t="s">
        <v>25</v>
      </c>
      <c r="O31" s="9"/>
      <c r="P31" s="90">
        <v>3</v>
      </c>
    </row>
    <row r="32" spans="1:16" ht="27.5" hidden="1" customHeight="1" x14ac:dyDescent="0.35">
      <c r="A32" s="4">
        <f t="shared" si="0"/>
        <v>29</v>
      </c>
      <c r="B32" s="4" t="s">
        <v>16</v>
      </c>
      <c r="C32" s="12" t="s">
        <v>98</v>
      </c>
      <c r="D32" s="5" t="s">
        <v>99</v>
      </c>
      <c r="E32" s="5" t="s">
        <v>93</v>
      </c>
      <c r="F32" s="9" t="s">
        <v>100</v>
      </c>
      <c r="G32" s="9" t="s">
        <v>101</v>
      </c>
      <c r="H32" s="9" t="s">
        <v>102</v>
      </c>
      <c r="I32" s="9"/>
      <c r="J32" s="9"/>
      <c r="K32" s="9"/>
      <c r="L32" s="9"/>
      <c r="M32" s="7"/>
      <c r="N32" s="6" t="s">
        <v>25</v>
      </c>
      <c r="O32" s="9"/>
      <c r="P32" s="32">
        <v>3</v>
      </c>
    </row>
    <row r="33" spans="1:16" ht="27.75" customHeight="1" x14ac:dyDescent="0.35">
      <c r="A33" s="4">
        <f t="shared" si="0"/>
        <v>30</v>
      </c>
      <c r="B33" s="4" t="s">
        <v>16</v>
      </c>
      <c r="C33" s="4" t="s">
        <v>103</v>
      </c>
      <c r="D33" s="5" t="s">
        <v>104</v>
      </c>
      <c r="E33" s="5" t="s">
        <v>19</v>
      </c>
      <c r="F33" s="9"/>
      <c r="G33" s="9"/>
      <c r="H33" s="9"/>
      <c r="I33" s="9"/>
      <c r="J33" s="9"/>
      <c r="K33" s="9"/>
      <c r="L33" s="9"/>
      <c r="M33" s="7"/>
      <c r="N33" s="6" t="s">
        <v>25</v>
      </c>
      <c r="O33" s="9"/>
      <c r="P33" s="90">
        <v>3</v>
      </c>
    </row>
    <row r="34" spans="1:16" ht="27.5" customHeight="1" x14ac:dyDescent="0.35">
      <c r="A34" s="4">
        <f t="shared" si="0"/>
        <v>31</v>
      </c>
      <c r="B34" s="4" t="s">
        <v>16</v>
      </c>
      <c r="C34" s="4" t="s">
        <v>105</v>
      </c>
      <c r="D34" s="5" t="s">
        <v>106</v>
      </c>
      <c r="E34" s="5" t="s">
        <v>19</v>
      </c>
      <c r="F34" s="8" t="s">
        <v>89</v>
      </c>
      <c r="G34" s="8" t="s">
        <v>89</v>
      </c>
      <c r="H34" s="8" t="s">
        <v>65</v>
      </c>
      <c r="I34" s="8" t="s">
        <v>70</v>
      </c>
      <c r="J34" s="29" t="s">
        <v>638</v>
      </c>
      <c r="K34" s="9"/>
      <c r="L34" s="9"/>
      <c r="M34" s="7"/>
      <c r="N34" s="6" t="s">
        <v>25</v>
      </c>
      <c r="O34" s="9"/>
      <c r="P34" s="90">
        <v>3</v>
      </c>
    </row>
    <row r="35" spans="1:16" ht="42" customHeight="1" x14ac:dyDescent="0.35">
      <c r="A35" s="4">
        <f t="shared" si="0"/>
        <v>32</v>
      </c>
      <c r="B35" s="4" t="s">
        <v>16</v>
      </c>
      <c r="C35" s="4" t="s">
        <v>107</v>
      </c>
      <c r="D35" s="5" t="s">
        <v>108</v>
      </c>
      <c r="E35" s="5" t="s">
        <v>19</v>
      </c>
      <c r="F35" s="9"/>
      <c r="G35" s="9"/>
      <c r="H35" s="9"/>
      <c r="I35" s="9"/>
      <c r="J35" s="9"/>
      <c r="K35" s="9"/>
      <c r="L35" s="9"/>
      <c r="M35" s="7"/>
      <c r="N35" s="6" t="s">
        <v>25</v>
      </c>
      <c r="O35" s="9"/>
      <c r="P35" s="90">
        <v>3</v>
      </c>
    </row>
    <row r="36" spans="1:16" ht="27.75" customHeight="1" x14ac:dyDescent="0.35">
      <c r="A36" s="4">
        <f t="shared" si="0"/>
        <v>33</v>
      </c>
      <c r="B36" s="4" t="s">
        <v>16</v>
      </c>
      <c r="C36" s="4" t="s">
        <v>109</v>
      </c>
      <c r="D36" s="5" t="s">
        <v>110</v>
      </c>
      <c r="E36" s="5" t="s">
        <v>19</v>
      </c>
      <c r="F36" s="9"/>
      <c r="G36" s="9"/>
      <c r="H36" s="9"/>
      <c r="I36" s="9"/>
      <c r="J36" s="9"/>
      <c r="K36" s="9"/>
      <c r="L36" s="9"/>
      <c r="M36" s="7"/>
      <c r="N36" s="6" t="s">
        <v>25</v>
      </c>
      <c r="O36" s="9"/>
      <c r="P36" s="90">
        <v>3</v>
      </c>
    </row>
    <row r="37" spans="1:16" ht="42" customHeight="1" x14ac:dyDescent="0.35">
      <c r="A37" s="4">
        <f t="shared" si="0"/>
        <v>34</v>
      </c>
      <c r="B37" s="4" t="s">
        <v>16</v>
      </c>
      <c r="C37" s="4" t="s">
        <v>111</v>
      </c>
      <c r="D37" s="5" t="s">
        <v>112</v>
      </c>
      <c r="E37" s="5" t="s">
        <v>19</v>
      </c>
      <c r="F37" s="9"/>
      <c r="G37" s="9"/>
      <c r="H37" s="9"/>
      <c r="I37" s="9"/>
      <c r="J37" s="9"/>
      <c r="K37" s="9"/>
      <c r="L37" s="9"/>
      <c r="M37" s="7"/>
      <c r="N37" s="6" t="s">
        <v>25</v>
      </c>
      <c r="O37" s="9"/>
      <c r="P37" s="90">
        <v>3</v>
      </c>
    </row>
    <row r="38" spans="1:16" ht="42" customHeight="1" x14ac:dyDescent="0.35">
      <c r="A38" s="4">
        <f t="shared" si="0"/>
        <v>35</v>
      </c>
      <c r="B38" s="4" t="s">
        <v>16</v>
      </c>
      <c r="C38" s="4" t="s">
        <v>113</v>
      </c>
      <c r="D38" s="5" t="s">
        <v>114</v>
      </c>
      <c r="E38" s="5" t="s">
        <v>19</v>
      </c>
      <c r="F38" s="9"/>
      <c r="G38" s="9"/>
      <c r="H38" s="9"/>
      <c r="I38" s="9"/>
      <c r="J38" s="9"/>
      <c r="K38" s="9"/>
      <c r="L38" s="9"/>
      <c r="M38" s="7"/>
      <c r="N38" s="6" t="s">
        <v>25</v>
      </c>
      <c r="O38" s="9"/>
      <c r="P38" s="90">
        <v>3</v>
      </c>
    </row>
    <row r="39" spans="1:16" ht="84" customHeight="1" x14ac:dyDescent="0.35">
      <c r="A39" s="4">
        <f t="shared" si="0"/>
        <v>36</v>
      </c>
      <c r="B39" s="4" t="s">
        <v>16</v>
      </c>
      <c r="C39" s="4" t="s">
        <v>115</v>
      </c>
      <c r="D39" s="5" t="s">
        <v>116</v>
      </c>
      <c r="E39" s="5" t="s">
        <v>19</v>
      </c>
      <c r="F39" s="9"/>
      <c r="G39" s="9"/>
      <c r="H39" s="9"/>
      <c r="I39" s="9"/>
      <c r="J39" s="9"/>
      <c r="K39" s="9"/>
      <c r="L39" s="9"/>
      <c r="M39" s="7"/>
      <c r="N39" s="6" t="s">
        <v>25</v>
      </c>
      <c r="O39" s="9"/>
      <c r="P39" s="90">
        <v>3</v>
      </c>
    </row>
    <row r="40" spans="1:16" ht="111.75" customHeight="1" x14ac:dyDescent="0.35">
      <c r="A40" s="4">
        <f t="shared" si="0"/>
        <v>37</v>
      </c>
      <c r="B40" s="4" t="s">
        <v>16</v>
      </c>
      <c r="C40" s="4" t="s">
        <v>117</v>
      </c>
      <c r="D40" s="5" t="s">
        <v>118</v>
      </c>
      <c r="E40" s="5" t="s">
        <v>19</v>
      </c>
      <c r="F40" s="9"/>
      <c r="G40" s="9"/>
      <c r="H40" s="9"/>
      <c r="I40" s="9"/>
      <c r="J40" s="9"/>
      <c r="K40" s="9"/>
      <c r="L40" s="13" t="s">
        <v>119</v>
      </c>
      <c r="M40" s="7"/>
      <c r="N40" s="6" t="s">
        <v>25</v>
      </c>
      <c r="O40" s="9"/>
      <c r="P40" s="90">
        <v>3</v>
      </c>
    </row>
    <row r="41" spans="1:16" ht="139.5" customHeight="1" x14ac:dyDescent="0.35">
      <c r="A41" s="4">
        <f t="shared" si="0"/>
        <v>38</v>
      </c>
      <c r="B41" s="4" t="s">
        <v>16</v>
      </c>
      <c r="C41" s="4" t="s">
        <v>120</v>
      </c>
      <c r="D41" s="5" t="s">
        <v>121</v>
      </c>
      <c r="E41" s="5" t="s">
        <v>19</v>
      </c>
      <c r="F41" s="9"/>
      <c r="G41" s="9"/>
      <c r="H41" s="9"/>
      <c r="I41" s="9"/>
      <c r="J41" s="9"/>
      <c r="K41" s="9"/>
      <c r="L41" s="13" t="s">
        <v>122</v>
      </c>
      <c r="M41" s="7"/>
      <c r="N41" s="6" t="s">
        <v>25</v>
      </c>
      <c r="O41" s="9"/>
      <c r="P41" s="90">
        <v>3</v>
      </c>
    </row>
    <row r="42" spans="1:16" ht="27.75" customHeight="1" x14ac:dyDescent="0.35">
      <c r="A42" s="4">
        <f t="shared" si="0"/>
        <v>39</v>
      </c>
      <c r="B42" s="4" t="s">
        <v>16</v>
      </c>
      <c r="C42" s="4" t="s">
        <v>123</v>
      </c>
      <c r="D42" s="5" t="s">
        <v>124</v>
      </c>
      <c r="E42" s="5" t="s">
        <v>19</v>
      </c>
      <c r="F42" s="9"/>
      <c r="G42" s="9"/>
      <c r="H42" s="9"/>
      <c r="I42" s="9"/>
      <c r="J42" s="9"/>
      <c r="K42" s="9"/>
      <c r="L42" s="9"/>
      <c r="M42" s="7"/>
      <c r="N42" s="6" t="s">
        <v>25</v>
      </c>
      <c r="O42" s="9"/>
      <c r="P42" s="90">
        <v>3</v>
      </c>
    </row>
    <row r="43" spans="1:16" ht="55.5" customHeight="1" x14ac:dyDescent="0.35">
      <c r="A43" s="4">
        <f t="shared" si="0"/>
        <v>40</v>
      </c>
      <c r="B43" s="4" t="s">
        <v>16</v>
      </c>
      <c r="C43" s="4" t="s">
        <v>125</v>
      </c>
      <c r="D43" s="5" t="s">
        <v>126</v>
      </c>
      <c r="E43" s="5" t="s">
        <v>19</v>
      </c>
      <c r="F43" s="8" t="s">
        <v>16</v>
      </c>
      <c r="G43" s="8" t="s">
        <v>127</v>
      </c>
      <c r="H43" s="8" t="s">
        <v>22</v>
      </c>
      <c r="I43" s="8" t="s">
        <v>23</v>
      </c>
      <c r="J43" s="9"/>
      <c r="K43" s="9"/>
      <c r="L43" s="9"/>
      <c r="M43" s="7"/>
      <c r="N43" s="6" t="s">
        <v>25</v>
      </c>
      <c r="O43" s="8" t="s">
        <v>128</v>
      </c>
      <c r="P43" s="90">
        <v>3</v>
      </c>
    </row>
    <row r="44" spans="1:16" ht="55.5" customHeight="1" x14ac:dyDescent="0.35">
      <c r="A44" s="4">
        <f t="shared" si="0"/>
        <v>41</v>
      </c>
      <c r="B44" s="4" t="s">
        <v>16</v>
      </c>
      <c r="C44" s="4" t="s">
        <v>129</v>
      </c>
      <c r="D44" s="5" t="s">
        <v>130</v>
      </c>
      <c r="E44" s="5" t="s">
        <v>19</v>
      </c>
      <c r="F44" s="8" t="s">
        <v>16</v>
      </c>
      <c r="G44" s="8" t="s">
        <v>127</v>
      </c>
      <c r="H44" s="8" t="s">
        <v>22</v>
      </c>
      <c r="I44" s="8" t="s">
        <v>23</v>
      </c>
      <c r="J44" s="9"/>
      <c r="K44" s="9"/>
      <c r="L44" s="9"/>
      <c r="M44" s="7"/>
      <c r="N44" s="6" t="s">
        <v>25</v>
      </c>
      <c r="O44" s="8" t="s">
        <v>128</v>
      </c>
      <c r="P44" s="90">
        <v>3</v>
      </c>
    </row>
    <row r="45" spans="1:16" ht="27.75" customHeight="1" x14ac:dyDescent="0.35">
      <c r="A45" s="4">
        <f t="shared" si="0"/>
        <v>42</v>
      </c>
      <c r="B45" s="4" t="s">
        <v>16</v>
      </c>
      <c r="C45" s="4" t="s">
        <v>131</v>
      </c>
      <c r="D45" s="5" t="s">
        <v>132</v>
      </c>
      <c r="E45" s="5" t="s">
        <v>19</v>
      </c>
      <c r="F45" s="9"/>
      <c r="G45" s="9"/>
      <c r="H45" s="9"/>
      <c r="I45" s="9"/>
      <c r="J45" s="9"/>
      <c r="K45" s="9"/>
      <c r="L45" s="9"/>
      <c r="M45" s="7"/>
      <c r="N45" s="6" t="s">
        <v>29</v>
      </c>
      <c r="O45" s="9"/>
      <c r="P45" s="90">
        <v>3</v>
      </c>
    </row>
    <row r="46" spans="1:16" ht="42" customHeight="1" x14ac:dyDescent="0.35">
      <c r="A46" s="4">
        <f t="shared" si="0"/>
        <v>43</v>
      </c>
      <c r="B46" s="4" t="s">
        <v>16</v>
      </c>
      <c r="C46" s="4" t="s">
        <v>133</v>
      </c>
      <c r="D46" s="5" t="s">
        <v>134</v>
      </c>
      <c r="E46" s="5" t="s">
        <v>19</v>
      </c>
      <c r="F46" s="9"/>
      <c r="G46" s="9"/>
      <c r="H46" s="9"/>
      <c r="I46" s="9"/>
      <c r="J46" s="9"/>
      <c r="K46" s="9"/>
      <c r="L46" s="9"/>
      <c r="M46" s="7"/>
      <c r="N46" s="6" t="s">
        <v>25</v>
      </c>
      <c r="O46" s="9"/>
      <c r="P46" s="90">
        <v>3</v>
      </c>
    </row>
    <row r="47" spans="1:16" ht="84" customHeight="1" x14ac:dyDescent="0.35">
      <c r="A47" s="4">
        <f t="shared" si="0"/>
        <v>44</v>
      </c>
      <c r="B47" s="4" t="s">
        <v>16</v>
      </c>
      <c r="C47" s="4" t="s">
        <v>135</v>
      </c>
      <c r="D47" s="5" t="s">
        <v>136</v>
      </c>
      <c r="E47" s="5" t="s">
        <v>19</v>
      </c>
      <c r="F47" s="9"/>
      <c r="G47" s="9"/>
      <c r="H47" s="9"/>
      <c r="I47" s="9"/>
      <c r="J47" s="9"/>
      <c r="K47" s="9"/>
      <c r="L47" s="9"/>
      <c r="M47" s="7"/>
      <c r="N47" s="6" t="s">
        <v>29</v>
      </c>
      <c r="O47" s="9"/>
      <c r="P47" s="90">
        <v>3</v>
      </c>
    </row>
    <row r="48" spans="1:16" ht="42" customHeight="1" x14ac:dyDescent="0.35">
      <c r="A48" s="4">
        <f t="shared" si="0"/>
        <v>45</v>
      </c>
      <c r="B48" s="4" t="s">
        <v>16</v>
      </c>
      <c r="C48" s="4" t="s">
        <v>137</v>
      </c>
      <c r="D48" s="5" t="s">
        <v>138</v>
      </c>
      <c r="E48" s="5" t="s">
        <v>19</v>
      </c>
      <c r="F48" s="8" t="s">
        <v>16</v>
      </c>
      <c r="G48" s="8" t="s">
        <v>127</v>
      </c>
      <c r="H48" s="9"/>
      <c r="I48" s="9"/>
      <c r="J48" s="9"/>
      <c r="K48" s="9"/>
      <c r="L48" s="9"/>
      <c r="M48" s="7"/>
      <c r="N48" s="6" t="s">
        <v>29</v>
      </c>
      <c r="O48" s="9"/>
      <c r="P48" s="90">
        <v>3</v>
      </c>
    </row>
    <row r="49" spans="1:16" ht="42" customHeight="1" x14ac:dyDescent="0.35">
      <c r="A49" s="4">
        <f t="shared" si="0"/>
        <v>46</v>
      </c>
      <c r="B49" s="4" t="s">
        <v>16</v>
      </c>
      <c r="C49" s="4" t="s">
        <v>139</v>
      </c>
      <c r="D49" s="5" t="s">
        <v>140</v>
      </c>
      <c r="E49" s="5" t="s">
        <v>19</v>
      </c>
      <c r="F49" s="9"/>
      <c r="G49" s="9"/>
      <c r="H49" s="9"/>
      <c r="I49" s="9"/>
      <c r="J49" s="9"/>
      <c r="K49" s="9"/>
      <c r="L49" s="9"/>
      <c r="M49" s="7"/>
      <c r="N49" s="6" t="s">
        <v>25</v>
      </c>
      <c r="O49" s="9"/>
      <c r="P49" s="90">
        <v>3</v>
      </c>
    </row>
    <row r="50" spans="1:16" ht="97.5" customHeight="1" x14ac:dyDescent="0.35">
      <c r="A50" s="4">
        <f t="shared" si="0"/>
        <v>47</v>
      </c>
      <c r="B50" s="4" t="s">
        <v>16</v>
      </c>
      <c r="C50" s="4" t="s">
        <v>141</v>
      </c>
      <c r="D50" s="5" t="s">
        <v>142</v>
      </c>
      <c r="E50" s="5" t="s">
        <v>19</v>
      </c>
      <c r="F50" s="9"/>
      <c r="G50" s="9"/>
      <c r="H50" s="9"/>
      <c r="I50" s="9"/>
      <c r="J50" s="9"/>
      <c r="K50" s="9"/>
      <c r="L50" s="9"/>
      <c r="M50" s="7"/>
      <c r="N50" s="6" t="s">
        <v>25</v>
      </c>
      <c r="O50" s="9"/>
      <c r="P50" s="90">
        <v>3</v>
      </c>
    </row>
    <row r="51" spans="1:16" ht="42" customHeight="1" x14ac:dyDescent="0.35">
      <c r="A51" s="4">
        <f t="shared" si="0"/>
        <v>48</v>
      </c>
      <c r="B51" s="4" t="s">
        <v>16</v>
      </c>
      <c r="C51" s="4" t="s">
        <v>143</v>
      </c>
      <c r="D51" s="5" t="s">
        <v>144</v>
      </c>
      <c r="E51" s="5" t="s">
        <v>19</v>
      </c>
      <c r="F51" s="9"/>
      <c r="G51" s="9"/>
      <c r="H51" s="9"/>
      <c r="I51" s="9"/>
      <c r="J51" s="9"/>
      <c r="K51" s="9"/>
      <c r="L51" s="9"/>
      <c r="M51" s="7"/>
      <c r="N51" s="6" t="s">
        <v>25</v>
      </c>
      <c r="O51" s="9"/>
      <c r="P51" s="90">
        <v>3</v>
      </c>
    </row>
    <row r="52" spans="1:16" ht="42" customHeight="1" x14ac:dyDescent="0.35">
      <c r="A52" s="4">
        <f t="shared" si="0"/>
        <v>49</v>
      </c>
      <c r="B52" s="4" t="s">
        <v>16</v>
      </c>
      <c r="C52" s="4" t="s">
        <v>145</v>
      </c>
      <c r="D52" s="5" t="s">
        <v>146</v>
      </c>
      <c r="E52" s="5" t="s">
        <v>19</v>
      </c>
      <c r="F52" s="9"/>
      <c r="G52" s="9"/>
      <c r="H52" s="9"/>
      <c r="I52" s="9"/>
      <c r="J52" s="9"/>
      <c r="K52" s="9"/>
      <c r="L52" s="9"/>
      <c r="M52" s="7"/>
      <c r="N52" s="6" t="s">
        <v>25</v>
      </c>
      <c r="O52" s="9"/>
      <c r="P52" s="90">
        <v>3</v>
      </c>
    </row>
    <row r="53" spans="1:16" ht="42" customHeight="1" x14ac:dyDescent="0.35">
      <c r="A53" s="4">
        <f t="shared" si="0"/>
        <v>50</v>
      </c>
      <c r="B53" s="4" t="s">
        <v>16</v>
      </c>
      <c r="C53" s="4" t="s">
        <v>147</v>
      </c>
      <c r="D53" s="5" t="s">
        <v>148</v>
      </c>
      <c r="E53" s="5" t="s">
        <v>19</v>
      </c>
      <c r="F53" s="9"/>
      <c r="G53" s="9"/>
      <c r="H53" s="9"/>
      <c r="I53" s="9"/>
      <c r="J53" s="9"/>
      <c r="K53" s="9"/>
      <c r="L53" s="9"/>
      <c r="M53" s="7"/>
      <c r="N53" s="6" t="s">
        <v>25</v>
      </c>
      <c r="O53" s="9"/>
      <c r="P53" s="90">
        <v>3</v>
      </c>
    </row>
    <row r="54" spans="1:16" ht="97.5" customHeight="1" x14ac:dyDescent="0.35">
      <c r="A54" s="4">
        <f t="shared" si="0"/>
        <v>51</v>
      </c>
      <c r="B54" s="4" t="s">
        <v>16</v>
      </c>
      <c r="C54" s="4" t="s">
        <v>149</v>
      </c>
      <c r="D54" s="5" t="s">
        <v>150</v>
      </c>
      <c r="E54" s="5" t="s">
        <v>19</v>
      </c>
      <c r="F54" s="9"/>
      <c r="G54" s="9"/>
      <c r="H54" s="9"/>
      <c r="I54" s="9"/>
      <c r="J54" s="9"/>
      <c r="K54" s="9"/>
      <c r="L54" s="9"/>
      <c r="M54" s="7"/>
      <c r="N54" s="6" t="s">
        <v>29</v>
      </c>
      <c r="O54" s="9"/>
      <c r="P54" s="90">
        <v>3</v>
      </c>
    </row>
    <row r="55" spans="1:16" ht="42" customHeight="1" x14ac:dyDescent="0.35">
      <c r="A55" s="4">
        <f t="shared" si="0"/>
        <v>52</v>
      </c>
      <c r="B55" s="4" t="s">
        <v>16</v>
      </c>
      <c r="C55" s="4" t="s">
        <v>151</v>
      </c>
      <c r="D55" s="5" t="s">
        <v>152</v>
      </c>
      <c r="E55" s="5" t="s">
        <v>19</v>
      </c>
      <c r="F55" s="9"/>
      <c r="G55" s="9"/>
      <c r="H55" s="9"/>
      <c r="I55" s="9"/>
      <c r="J55" s="9"/>
      <c r="K55" s="9"/>
      <c r="L55" s="9"/>
      <c r="M55" s="7"/>
      <c r="N55" s="6" t="s">
        <v>29</v>
      </c>
      <c r="O55" s="9"/>
      <c r="P55" s="90">
        <v>3</v>
      </c>
    </row>
    <row r="56" spans="1:16" ht="84" customHeight="1" x14ac:dyDescent="0.35">
      <c r="A56" s="4">
        <f t="shared" si="0"/>
        <v>53</v>
      </c>
      <c r="B56" s="4" t="s">
        <v>16</v>
      </c>
      <c r="C56" s="4" t="s">
        <v>153</v>
      </c>
      <c r="D56" s="5" t="s">
        <v>154</v>
      </c>
      <c r="E56" s="5" t="s">
        <v>19</v>
      </c>
      <c r="F56" s="8" t="s">
        <v>89</v>
      </c>
      <c r="G56" s="8" t="s">
        <v>155</v>
      </c>
      <c r="H56" s="8" t="s">
        <v>156</v>
      </c>
      <c r="I56" s="8" t="s">
        <v>23</v>
      </c>
      <c r="J56" s="29" t="s">
        <v>259</v>
      </c>
      <c r="K56" s="38" t="s">
        <v>260</v>
      </c>
      <c r="L56" s="9"/>
      <c r="M56" s="114" t="s">
        <v>157</v>
      </c>
      <c r="N56" s="6" t="s">
        <v>158</v>
      </c>
      <c r="O56" s="9"/>
      <c r="P56" s="90">
        <v>3</v>
      </c>
    </row>
    <row r="57" spans="1:16" ht="55.5" customHeight="1" x14ac:dyDescent="0.35">
      <c r="A57" s="4">
        <f t="shared" si="0"/>
        <v>54</v>
      </c>
      <c r="B57" s="4" t="s">
        <v>16</v>
      </c>
      <c r="C57" s="4" t="s">
        <v>159</v>
      </c>
      <c r="D57" s="5" t="s">
        <v>160</v>
      </c>
      <c r="E57" s="5" t="s">
        <v>19</v>
      </c>
      <c r="F57" s="9"/>
      <c r="G57" s="9"/>
      <c r="H57" s="9"/>
      <c r="I57" s="9"/>
      <c r="J57" s="9"/>
      <c r="K57" s="9"/>
      <c r="L57" s="9"/>
      <c r="M57" s="7"/>
      <c r="N57" s="6" t="s">
        <v>29</v>
      </c>
      <c r="O57" s="9"/>
      <c r="P57" s="90">
        <v>3</v>
      </c>
    </row>
    <row r="58" spans="1:16" ht="84" customHeight="1" x14ac:dyDescent="0.35">
      <c r="A58" s="4">
        <f t="shared" si="0"/>
        <v>55</v>
      </c>
      <c r="B58" s="4" t="s">
        <v>16</v>
      </c>
      <c r="C58" s="4" t="s">
        <v>161</v>
      </c>
      <c r="D58" s="5" t="s">
        <v>162</v>
      </c>
      <c r="E58" s="5" t="s">
        <v>19</v>
      </c>
      <c r="F58" s="9"/>
      <c r="G58" s="9"/>
      <c r="H58" s="9"/>
      <c r="I58" s="9"/>
      <c r="J58" s="9"/>
      <c r="K58" s="9"/>
      <c r="L58" s="9"/>
      <c r="M58" s="7"/>
      <c r="N58" s="6" t="s">
        <v>29</v>
      </c>
      <c r="O58" s="9"/>
      <c r="P58" s="90">
        <v>3</v>
      </c>
    </row>
    <row r="59" spans="1:16" ht="42" customHeight="1" x14ac:dyDescent="0.35">
      <c r="A59" s="4">
        <f t="shared" si="0"/>
        <v>56</v>
      </c>
      <c r="B59" s="4" t="s">
        <v>16</v>
      </c>
      <c r="C59" s="4" t="s">
        <v>163</v>
      </c>
      <c r="D59" s="5" t="s">
        <v>164</v>
      </c>
      <c r="E59" s="5" t="s">
        <v>19</v>
      </c>
      <c r="F59" s="9"/>
      <c r="G59" s="9"/>
      <c r="H59" s="9"/>
      <c r="I59" s="9"/>
      <c r="J59" s="9"/>
      <c r="K59" s="9"/>
      <c r="L59" s="9"/>
      <c r="M59" s="7"/>
      <c r="N59" s="6" t="s">
        <v>29</v>
      </c>
      <c r="O59" s="9"/>
      <c r="P59" s="32"/>
    </row>
    <row r="60" spans="1:16" ht="27.75" customHeight="1" x14ac:dyDescent="0.35">
      <c r="A60" s="4">
        <f t="shared" si="0"/>
        <v>57</v>
      </c>
      <c r="B60" s="4" t="s">
        <v>16</v>
      </c>
      <c r="C60" s="4" t="s">
        <v>165</v>
      </c>
      <c r="D60" s="5" t="s">
        <v>166</v>
      </c>
      <c r="E60" s="5" t="s">
        <v>19</v>
      </c>
      <c r="F60" s="9"/>
      <c r="G60" s="9"/>
      <c r="H60" s="9"/>
      <c r="I60" s="9"/>
      <c r="J60" s="9"/>
      <c r="K60" s="9"/>
      <c r="L60" s="9"/>
      <c r="M60" s="7"/>
      <c r="N60" s="6" t="s">
        <v>29</v>
      </c>
      <c r="O60" s="9"/>
      <c r="P60" s="32"/>
    </row>
    <row r="61" spans="1:16" ht="27.75" customHeight="1" x14ac:dyDescent="0.35">
      <c r="A61" s="4">
        <f t="shared" si="0"/>
        <v>58</v>
      </c>
      <c r="B61" s="4" t="s">
        <v>16</v>
      </c>
      <c r="C61" s="4" t="s">
        <v>167</v>
      </c>
      <c r="D61" s="5" t="s">
        <v>168</v>
      </c>
      <c r="E61" s="5" t="s">
        <v>19</v>
      </c>
      <c r="F61" s="9"/>
      <c r="G61" s="9"/>
      <c r="H61" s="9"/>
      <c r="I61" s="9"/>
      <c r="J61" s="9"/>
      <c r="K61" s="9"/>
      <c r="L61" s="9"/>
      <c r="M61" s="7"/>
      <c r="N61" s="6" t="s">
        <v>29</v>
      </c>
      <c r="O61" s="9"/>
      <c r="P61" s="32"/>
    </row>
    <row r="62" spans="1:16" ht="55.5" customHeight="1" x14ac:dyDescent="0.35">
      <c r="A62" s="4">
        <f t="shared" si="0"/>
        <v>59</v>
      </c>
      <c r="B62" s="4" t="s">
        <v>16</v>
      </c>
      <c r="C62" s="4" t="s">
        <v>169</v>
      </c>
      <c r="D62" s="5" t="s">
        <v>170</v>
      </c>
      <c r="E62" s="5" t="s">
        <v>19</v>
      </c>
      <c r="F62" s="9"/>
      <c r="G62" s="9"/>
      <c r="H62" s="9"/>
      <c r="I62" s="9"/>
      <c r="J62" s="9"/>
      <c r="K62" s="9"/>
      <c r="L62" s="9"/>
      <c r="M62" s="7"/>
      <c r="N62" s="6" t="s">
        <v>29</v>
      </c>
      <c r="O62" s="9"/>
      <c r="P62" s="32"/>
    </row>
    <row r="63" spans="1:16" ht="55.5" customHeight="1" x14ac:dyDescent="0.35">
      <c r="A63" s="4">
        <f t="shared" si="0"/>
        <v>60</v>
      </c>
      <c r="B63" s="4" t="s">
        <v>16</v>
      </c>
      <c r="C63" s="4" t="s">
        <v>171</v>
      </c>
      <c r="D63" s="5" t="s">
        <v>172</v>
      </c>
      <c r="E63" s="5" t="s">
        <v>19</v>
      </c>
      <c r="F63" s="9"/>
      <c r="G63" s="9"/>
      <c r="H63" s="9"/>
      <c r="I63" s="9"/>
      <c r="J63" s="9"/>
      <c r="K63" s="9"/>
      <c r="L63" s="9"/>
      <c r="M63" s="7"/>
      <c r="N63" s="6" t="s">
        <v>29</v>
      </c>
      <c r="O63" s="9"/>
      <c r="P63" s="32"/>
    </row>
    <row r="64" spans="1:16" ht="27.75" customHeight="1" x14ac:dyDescent="0.35">
      <c r="A64" s="4">
        <f t="shared" si="0"/>
        <v>61</v>
      </c>
      <c r="B64" s="4" t="s">
        <v>16</v>
      </c>
      <c r="C64" s="4" t="s">
        <v>173</v>
      </c>
      <c r="D64" s="5" t="s">
        <v>174</v>
      </c>
      <c r="E64" s="5" t="s">
        <v>19</v>
      </c>
      <c r="F64" s="9"/>
      <c r="G64" s="9"/>
      <c r="H64" s="9"/>
      <c r="I64" s="9"/>
      <c r="J64" s="9"/>
      <c r="K64" s="9"/>
      <c r="L64" s="9"/>
      <c r="M64" s="7"/>
      <c r="N64" s="6" t="s">
        <v>29</v>
      </c>
      <c r="O64" s="9"/>
      <c r="P64" s="32"/>
    </row>
    <row r="65" spans="1:16" ht="97.5" customHeight="1" x14ac:dyDescent="0.35">
      <c r="A65" s="4">
        <f t="shared" si="0"/>
        <v>62</v>
      </c>
      <c r="B65" s="4" t="s">
        <v>16</v>
      </c>
      <c r="C65" s="4" t="s">
        <v>175</v>
      </c>
      <c r="D65" s="5" t="s">
        <v>176</v>
      </c>
      <c r="E65" s="5" t="s">
        <v>19</v>
      </c>
      <c r="F65" s="9"/>
      <c r="G65" s="9"/>
      <c r="H65" s="9"/>
      <c r="I65" s="9"/>
      <c r="J65" s="9"/>
      <c r="K65" s="9"/>
      <c r="L65" s="9"/>
      <c r="M65" s="7"/>
      <c r="N65" s="6" t="s">
        <v>29</v>
      </c>
      <c r="O65" s="9"/>
      <c r="P65" s="32"/>
    </row>
    <row r="66" spans="1:16" ht="69.75" customHeight="1" x14ac:dyDescent="0.35">
      <c r="A66" s="4">
        <f t="shared" si="0"/>
        <v>63</v>
      </c>
      <c r="B66" s="4" t="s">
        <v>16</v>
      </c>
      <c r="C66" s="4" t="s">
        <v>177</v>
      </c>
      <c r="D66" s="5" t="s">
        <v>178</v>
      </c>
      <c r="E66" s="5" t="s">
        <v>19</v>
      </c>
      <c r="F66" s="9"/>
      <c r="G66" s="9"/>
      <c r="H66" s="9"/>
      <c r="I66" s="9"/>
      <c r="J66" s="9"/>
      <c r="K66" s="9"/>
      <c r="L66" s="9"/>
      <c r="M66" s="7"/>
      <c r="N66" s="6" t="s">
        <v>29</v>
      </c>
      <c r="O66" s="9"/>
      <c r="P66" s="32"/>
    </row>
    <row r="67" spans="1:16" ht="28.5" customHeight="1" x14ac:dyDescent="0.35">
      <c r="A67" s="4">
        <f t="shared" si="0"/>
        <v>64</v>
      </c>
      <c r="B67" s="4" t="s">
        <v>16</v>
      </c>
      <c r="C67" s="4" t="s">
        <v>179</v>
      </c>
      <c r="D67" s="5" t="s">
        <v>180</v>
      </c>
      <c r="E67" s="5" t="s">
        <v>19</v>
      </c>
      <c r="F67" s="9"/>
      <c r="G67" s="9"/>
      <c r="H67" s="9"/>
      <c r="I67" s="9"/>
      <c r="J67" s="9"/>
      <c r="K67" s="9"/>
      <c r="L67" s="9"/>
      <c r="M67" s="7"/>
      <c r="N67" s="6" t="s">
        <v>29</v>
      </c>
      <c r="O67" s="9"/>
      <c r="P67" s="32"/>
    </row>
    <row r="68" spans="1:16" ht="223.5" customHeight="1" x14ac:dyDescent="0.35">
      <c r="A68" s="4">
        <f t="shared" ref="A68:A128" si="1">ROW()-3</f>
        <v>65</v>
      </c>
      <c r="B68" s="4" t="s">
        <v>16</v>
      </c>
      <c r="C68" s="4" t="s">
        <v>181</v>
      </c>
      <c r="D68" s="5" t="s">
        <v>182</v>
      </c>
      <c r="E68" s="5" t="s">
        <v>19</v>
      </c>
      <c r="F68" s="9"/>
      <c r="G68" s="9"/>
      <c r="H68" s="9"/>
      <c r="I68" s="9"/>
      <c r="J68" s="9"/>
      <c r="K68" s="9"/>
      <c r="L68" s="9"/>
      <c r="M68" s="7"/>
      <c r="N68" s="6" t="s">
        <v>29</v>
      </c>
      <c r="O68" s="9"/>
      <c r="P68" s="32"/>
    </row>
    <row r="69" spans="1:16" ht="43.5" customHeight="1" x14ac:dyDescent="0.35">
      <c r="A69" s="14">
        <f t="shared" si="1"/>
        <v>66</v>
      </c>
      <c r="B69" s="14" t="s">
        <v>16</v>
      </c>
      <c r="C69" s="14" t="s">
        <v>183</v>
      </c>
      <c r="D69" s="15" t="s">
        <v>184</v>
      </c>
      <c r="E69" s="16" t="s">
        <v>19</v>
      </c>
      <c r="F69" s="17" t="s">
        <v>185</v>
      </c>
      <c r="G69" s="17" t="s">
        <v>127</v>
      </c>
      <c r="H69" s="17"/>
      <c r="I69" s="17"/>
      <c r="J69" s="17"/>
      <c r="K69" s="17"/>
      <c r="L69" s="17"/>
      <c r="M69" s="17"/>
      <c r="N69" s="17" t="s">
        <v>25</v>
      </c>
      <c r="O69" s="17"/>
      <c r="P69" s="17"/>
    </row>
    <row r="70" spans="1:16" ht="43.5" customHeight="1" x14ac:dyDescent="0.35">
      <c r="A70" s="14">
        <f t="shared" si="1"/>
        <v>67</v>
      </c>
      <c r="B70" s="14" t="s">
        <v>16</v>
      </c>
      <c r="C70" s="14" t="s">
        <v>186</v>
      </c>
      <c r="D70" s="15" t="s">
        <v>187</v>
      </c>
      <c r="E70" s="16" t="s">
        <v>19</v>
      </c>
      <c r="F70" s="17" t="s">
        <v>185</v>
      </c>
      <c r="G70" s="17" t="s">
        <v>127</v>
      </c>
      <c r="H70" s="17"/>
      <c r="I70" s="17"/>
      <c r="J70" s="17"/>
      <c r="K70" s="17"/>
      <c r="L70" s="17"/>
      <c r="M70" s="17"/>
      <c r="N70" s="17" t="s">
        <v>25</v>
      </c>
      <c r="O70" s="17"/>
      <c r="P70" s="17"/>
    </row>
    <row r="71" spans="1:16" ht="43.5" customHeight="1" x14ac:dyDescent="0.35">
      <c r="A71" s="14">
        <f t="shared" si="1"/>
        <v>68</v>
      </c>
      <c r="B71" s="14" t="s">
        <v>16</v>
      </c>
      <c r="C71" s="14" t="s">
        <v>188</v>
      </c>
      <c r="D71" s="15" t="s">
        <v>189</v>
      </c>
      <c r="E71" s="16" t="s">
        <v>19</v>
      </c>
      <c r="F71" s="17"/>
      <c r="G71" s="17" t="s">
        <v>190</v>
      </c>
      <c r="H71" s="17"/>
      <c r="I71" s="17"/>
      <c r="J71" s="17"/>
      <c r="K71" s="17"/>
      <c r="L71" s="17"/>
      <c r="M71" s="17"/>
      <c r="N71" s="17" t="s">
        <v>25</v>
      </c>
      <c r="O71" s="17"/>
      <c r="P71" s="17"/>
    </row>
    <row r="72" spans="1:16" ht="43.5" customHeight="1" x14ac:dyDescent="0.35">
      <c r="A72" s="14">
        <f t="shared" si="1"/>
        <v>69</v>
      </c>
      <c r="B72" s="14" t="s">
        <v>16</v>
      </c>
      <c r="C72" s="14" t="s">
        <v>191</v>
      </c>
      <c r="D72" s="15" t="s">
        <v>192</v>
      </c>
      <c r="E72" s="16" t="s">
        <v>19</v>
      </c>
      <c r="F72" s="17" t="s">
        <v>193</v>
      </c>
      <c r="G72" s="17" t="s">
        <v>194</v>
      </c>
      <c r="H72" s="17"/>
      <c r="I72" s="17"/>
      <c r="J72" s="17"/>
      <c r="K72" s="17"/>
      <c r="L72" s="17"/>
      <c r="M72" s="17"/>
      <c r="N72" s="17" t="s">
        <v>25</v>
      </c>
      <c r="O72" s="17"/>
      <c r="P72" s="17"/>
    </row>
    <row r="73" spans="1:16" ht="43.5" customHeight="1" x14ac:dyDescent="0.35">
      <c r="A73" s="14">
        <f t="shared" si="1"/>
        <v>70</v>
      </c>
      <c r="B73" s="39" t="s">
        <v>16</v>
      </c>
      <c r="C73" s="40" t="s">
        <v>195</v>
      </c>
      <c r="D73" s="15" t="s">
        <v>196</v>
      </c>
      <c r="E73" s="16"/>
      <c r="F73" s="17"/>
      <c r="G73" s="40" t="s">
        <v>127</v>
      </c>
      <c r="H73" s="41"/>
      <c r="I73" s="41"/>
      <c r="J73" s="42" t="s">
        <v>641</v>
      </c>
      <c r="K73" s="41"/>
      <c r="L73" s="41"/>
      <c r="M73" s="40"/>
      <c r="N73" s="40" t="s">
        <v>25</v>
      </c>
      <c r="O73" s="40"/>
      <c r="P73" s="40"/>
    </row>
    <row r="74" spans="1:16" ht="43.5" customHeight="1" x14ac:dyDescent="0.35">
      <c r="A74" s="14">
        <f t="shared" si="1"/>
        <v>71</v>
      </c>
      <c r="B74" s="39" t="s">
        <v>16</v>
      </c>
      <c r="C74" s="40" t="s">
        <v>197</v>
      </c>
      <c r="D74" s="15" t="s">
        <v>198</v>
      </c>
      <c r="E74" s="16"/>
      <c r="F74" s="17"/>
      <c r="G74" s="40" t="s">
        <v>199</v>
      </c>
      <c r="H74" s="41"/>
      <c r="I74" s="41"/>
      <c r="J74" s="41"/>
      <c r="K74" s="41"/>
      <c r="L74" s="41"/>
      <c r="M74" s="40"/>
      <c r="N74" s="40" t="s">
        <v>29</v>
      </c>
      <c r="O74" s="40"/>
      <c r="P74" s="40"/>
    </row>
    <row r="75" spans="1:16" ht="43.5" customHeight="1" x14ac:dyDescent="0.35">
      <c r="A75" s="14">
        <f t="shared" si="1"/>
        <v>72</v>
      </c>
      <c r="B75" s="14" t="s">
        <v>16</v>
      </c>
      <c r="C75" s="14" t="s">
        <v>195</v>
      </c>
      <c r="D75" s="15" t="s">
        <v>196</v>
      </c>
      <c r="E75" s="16" t="s">
        <v>19</v>
      </c>
      <c r="F75" s="17"/>
      <c r="G75" s="17" t="s">
        <v>127</v>
      </c>
      <c r="H75" s="17"/>
      <c r="I75" s="17"/>
      <c r="J75" s="17"/>
      <c r="K75" s="17"/>
      <c r="L75" s="17"/>
      <c r="M75" s="17"/>
      <c r="N75" s="17" t="s">
        <v>25</v>
      </c>
      <c r="O75" s="17"/>
      <c r="P75" s="17"/>
    </row>
    <row r="76" spans="1:16" ht="14.25" customHeight="1" x14ac:dyDescent="0.35">
      <c r="A76" s="39">
        <f t="shared" si="1"/>
        <v>73</v>
      </c>
      <c r="B76" s="39" t="s">
        <v>16</v>
      </c>
      <c r="C76" s="27" t="s">
        <v>559</v>
      </c>
      <c r="D76" s="15" t="s">
        <v>560</v>
      </c>
      <c r="E76" s="5" t="s">
        <v>19</v>
      </c>
      <c r="F76" s="54"/>
      <c r="G76" s="27" t="s">
        <v>199</v>
      </c>
      <c r="H76" s="41"/>
      <c r="I76" s="41"/>
      <c r="J76" s="41"/>
      <c r="K76" s="41"/>
      <c r="L76" s="41"/>
      <c r="M76" s="27"/>
      <c r="N76" s="27" t="s">
        <v>561</v>
      </c>
      <c r="O76" s="27"/>
      <c r="P76" s="27"/>
    </row>
    <row r="77" spans="1:16" ht="43.5" customHeight="1" x14ac:dyDescent="0.35">
      <c r="A77" s="14">
        <f t="shared" si="1"/>
        <v>74</v>
      </c>
      <c r="B77" s="14" t="s">
        <v>89</v>
      </c>
      <c r="C77" s="14" t="s">
        <v>200</v>
      </c>
      <c r="D77" s="15" t="s">
        <v>201</v>
      </c>
      <c r="E77" s="16" t="s">
        <v>19</v>
      </c>
      <c r="F77" s="17" t="s">
        <v>89</v>
      </c>
      <c r="G77" s="17" t="s">
        <v>202</v>
      </c>
      <c r="H77" s="17"/>
      <c r="I77" s="17"/>
      <c r="J77" s="17"/>
      <c r="K77" s="17"/>
      <c r="L77" s="17"/>
      <c r="M77" s="17"/>
      <c r="N77" s="17"/>
      <c r="O77" s="17"/>
      <c r="P77" s="17"/>
    </row>
    <row r="78" spans="1:16" ht="48" customHeight="1" x14ac:dyDescent="0.35">
      <c r="A78" s="4">
        <f t="shared" si="1"/>
        <v>75</v>
      </c>
      <c r="B78" s="4" t="s">
        <v>89</v>
      </c>
      <c r="C78" s="4" t="s">
        <v>203</v>
      </c>
      <c r="D78" s="5"/>
      <c r="E78" s="5" t="s">
        <v>19</v>
      </c>
      <c r="F78" s="6" t="s">
        <v>89</v>
      </c>
      <c r="G78" s="9"/>
      <c r="H78" s="6" t="s">
        <v>22</v>
      </c>
      <c r="I78" s="6" t="s">
        <v>70</v>
      </c>
      <c r="J78" s="28">
        <v>40000</v>
      </c>
      <c r="K78" s="6"/>
      <c r="L78" s="7"/>
      <c r="M78" s="7"/>
      <c r="N78" s="9"/>
      <c r="O78" s="6" t="s">
        <v>204</v>
      </c>
      <c r="P78" s="32"/>
    </row>
    <row r="79" spans="1:16" ht="27.75" customHeight="1" x14ac:dyDescent="0.35">
      <c r="A79" s="4">
        <f t="shared" si="1"/>
        <v>76</v>
      </c>
      <c r="B79" s="4" t="s">
        <v>89</v>
      </c>
      <c r="C79" s="12" t="s">
        <v>205</v>
      </c>
      <c r="D79" s="5" t="s">
        <v>206</v>
      </c>
      <c r="E79" s="5" t="s">
        <v>19</v>
      </c>
      <c r="F79" s="8" t="s">
        <v>89</v>
      </c>
      <c r="G79" s="8" t="s">
        <v>207</v>
      </c>
      <c r="H79" s="9" t="s">
        <v>65</v>
      </c>
      <c r="I79" s="9"/>
      <c r="J79" s="9"/>
      <c r="K79" s="9"/>
      <c r="L79" s="9"/>
      <c r="M79" s="7"/>
      <c r="N79" s="6" t="s">
        <v>25</v>
      </c>
      <c r="O79" s="9"/>
      <c r="P79" s="90">
        <v>3</v>
      </c>
    </row>
    <row r="80" spans="1:16" ht="55.5" customHeight="1" x14ac:dyDescent="0.35">
      <c r="A80" s="4">
        <f t="shared" si="1"/>
        <v>77</v>
      </c>
      <c r="B80" s="4" t="s">
        <v>89</v>
      </c>
      <c r="C80" s="12" t="s">
        <v>208</v>
      </c>
      <c r="D80" s="5" t="s">
        <v>209</v>
      </c>
      <c r="E80" s="5" t="s">
        <v>19</v>
      </c>
      <c r="F80" s="8" t="s">
        <v>89</v>
      </c>
      <c r="G80" s="8" t="s">
        <v>207</v>
      </c>
      <c r="H80" s="9" t="s">
        <v>22</v>
      </c>
      <c r="I80" s="9"/>
      <c r="J80" s="9"/>
      <c r="K80" s="9"/>
      <c r="L80" s="9"/>
      <c r="M80" s="7"/>
      <c r="N80" s="6" t="s">
        <v>29</v>
      </c>
      <c r="O80" s="9"/>
      <c r="P80" s="90">
        <v>3</v>
      </c>
    </row>
    <row r="81" spans="1:16" ht="42" customHeight="1" x14ac:dyDescent="0.35">
      <c r="A81" s="4">
        <f t="shared" si="1"/>
        <v>78</v>
      </c>
      <c r="B81" s="4" t="s">
        <v>89</v>
      </c>
      <c r="C81" s="12" t="s">
        <v>210</v>
      </c>
      <c r="D81" s="5" t="s">
        <v>211</v>
      </c>
      <c r="E81" s="5" t="s">
        <v>19</v>
      </c>
      <c r="F81" s="8" t="s">
        <v>89</v>
      </c>
      <c r="G81" s="8" t="s">
        <v>207</v>
      </c>
      <c r="H81" s="9" t="s">
        <v>156</v>
      </c>
      <c r="I81" s="8" t="s">
        <v>70</v>
      </c>
      <c r="J81" s="28">
        <v>200000</v>
      </c>
      <c r="K81" s="9"/>
      <c r="L81" s="9"/>
      <c r="M81" s="7"/>
      <c r="N81" s="6" t="s">
        <v>25</v>
      </c>
      <c r="O81" s="9" t="s">
        <v>212</v>
      </c>
      <c r="P81" s="90">
        <v>3</v>
      </c>
    </row>
    <row r="82" spans="1:16" ht="27.75" customHeight="1" x14ac:dyDescent="0.35">
      <c r="A82" s="4">
        <f t="shared" si="1"/>
        <v>79</v>
      </c>
      <c r="B82" s="4" t="s">
        <v>89</v>
      </c>
      <c r="C82" s="12" t="s">
        <v>213</v>
      </c>
      <c r="D82" s="5" t="s">
        <v>214</v>
      </c>
      <c r="E82" s="5" t="s">
        <v>19</v>
      </c>
      <c r="F82" s="8" t="s">
        <v>89</v>
      </c>
      <c r="G82" s="8" t="s">
        <v>207</v>
      </c>
      <c r="H82" s="9" t="s">
        <v>22</v>
      </c>
      <c r="I82" s="9"/>
      <c r="J82" s="9"/>
      <c r="K82" s="9"/>
      <c r="L82" s="9"/>
      <c r="M82" s="7"/>
      <c r="N82" s="6" t="s">
        <v>25</v>
      </c>
      <c r="O82" s="9"/>
      <c r="P82" s="90">
        <v>3</v>
      </c>
    </row>
    <row r="83" spans="1:16" ht="14.25" customHeight="1" x14ac:dyDescent="0.35">
      <c r="A83" s="18">
        <f t="shared" si="1"/>
        <v>80</v>
      </c>
      <c r="B83" s="18" t="s">
        <v>218</v>
      </c>
      <c r="C83" s="18" t="s">
        <v>219</v>
      </c>
      <c r="D83" s="11"/>
      <c r="E83" s="11" t="s">
        <v>19</v>
      </c>
      <c r="F83" s="9"/>
      <c r="G83" s="9"/>
      <c r="H83" s="6" t="s">
        <v>22</v>
      </c>
      <c r="I83" s="6" t="s">
        <v>23</v>
      </c>
      <c r="J83" s="6">
        <v>100000</v>
      </c>
      <c r="K83" s="6"/>
      <c r="L83" s="7"/>
      <c r="M83" s="7"/>
      <c r="N83" s="9"/>
      <c r="O83" s="9"/>
      <c r="P83" s="32"/>
    </row>
    <row r="84" spans="1:16" s="74" customFormat="1" ht="14.25" customHeight="1" x14ac:dyDescent="0.35">
      <c r="A84" s="108">
        <f t="shared" si="1"/>
        <v>81</v>
      </c>
      <c r="B84" s="108" t="s">
        <v>555</v>
      </c>
      <c r="C84" s="108" t="s">
        <v>556</v>
      </c>
      <c r="D84" s="108" t="s">
        <v>557</v>
      </c>
      <c r="E84" s="109" t="s">
        <v>19</v>
      </c>
      <c r="F84" s="110" t="s">
        <v>218</v>
      </c>
      <c r="G84" s="110" t="s">
        <v>155</v>
      </c>
      <c r="H84" s="110" t="s">
        <v>218</v>
      </c>
      <c r="I84" s="110" t="s">
        <v>23</v>
      </c>
      <c r="J84" s="111">
        <v>85000</v>
      </c>
      <c r="K84" s="110" t="s">
        <v>558</v>
      </c>
      <c r="L84" s="110"/>
      <c r="M84" s="110" t="s">
        <v>476</v>
      </c>
      <c r="N84" s="110" t="s">
        <v>29</v>
      </c>
      <c r="O84" s="110"/>
      <c r="P84" s="110"/>
    </row>
    <row r="85" spans="1:16" ht="42" customHeight="1" x14ac:dyDescent="0.35">
      <c r="A85" s="18">
        <f t="shared" si="1"/>
        <v>82</v>
      </c>
      <c r="B85" s="18" t="s">
        <v>220</v>
      </c>
      <c r="C85" s="18" t="s">
        <v>221</v>
      </c>
      <c r="D85" s="11" t="s">
        <v>222</v>
      </c>
      <c r="E85" s="11" t="s">
        <v>19</v>
      </c>
      <c r="F85" s="6" t="s">
        <v>223</v>
      </c>
      <c r="G85" s="6" t="s">
        <v>223</v>
      </c>
      <c r="H85" s="6" t="s">
        <v>22</v>
      </c>
      <c r="I85" s="6" t="s">
        <v>23</v>
      </c>
      <c r="J85" s="6" t="s">
        <v>224</v>
      </c>
      <c r="K85" s="6" t="s">
        <v>225</v>
      </c>
      <c r="L85" s="7"/>
      <c r="M85" s="7"/>
      <c r="N85" s="6" t="s">
        <v>29</v>
      </c>
      <c r="O85" s="9" t="s">
        <v>226</v>
      </c>
      <c r="P85" s="115" t="s">
        <v>227</v>
      </c>
    </row>
    <row r="86" spans="1:16" ht="42" customHeight="1" x14ac:dyDescent="0.35">
      <c r="A86" s="18">
        <f t="shared" si="1"/>
        <v>83</v>
      </c>
      <c r="B86" s="18" t="s">
        <v>220</v>
      </c>
      <c r="C86" s="18" t="s">
        <v>228</v>
      </c>
      <c r="D86" s="11" t="s">
        <v>229</v>
      </c>
      <c r="E86" s="11" t="s">
        <v>19</v>
      </c>
      <c r="F86" s="6" t="s">
        <v>223</v>
      </c>
      <c r="G86" s="6" t="s">
        <v>223</v>
      </c>
      <c r="H86" s="6" t="s">
        <v>22</v>
      </c>
      <c r="I86" s="6" t="s">
        <v>23</v>
      </c>
      <c r="J86" s="6" t="s">
        <v>224</v>
      </c>
      <c r="K86" s="6" t="s">
        <v>225</v>
      </c>
      <c r="L86" s="7"/>
      <c r="M86" s="7"/>
      <c r="N86" s="6" t="s">
        <v>29</v>
      </c>
      <c r="O86" s="9" t="s">
        <v>226</v>
      </c>
      <c r="P86" s="115" t="s">
        <v>227</v>
      </c>
    </row>
    <row r="87" spans="1:16" ht="27.75" customHeight="1" x14ac:dyDescent="0.35">
      <c r="A87" s="18">
        <f t="shared" si="1"/>
        <v>84</v>
      </c>
      <c r="B87" s="18" t="s">
        <v>220</v>
      </c>
      <c r="C87" s="18" t="s">
        <v>230</v>
      </c>
      <c r="D87" s="11" t="s">
        <v>231</v>
      </c>
      <c r="E87" s="11" t="s">
        <v>19</v>
      </c>
      <c r="F87" s="6" t="s">
        <v>223</v>
      </c>
      <c r="G87" s="6" t="s">
        <v>223</v>
      </c>
      <c r="H87" s="6" t="s">
        <v>22</v>
      </c>
      <c r="I87" s="6" t="s">
        <v>23</v>
      </c>
      <c r="J87" s="6" t="s">
        <v>224</v>
      </c>
      <c r="K87" s="6" t="s">
        <v>225</v>
      </c>
      <c r="L87" s="7"/>
      <c r="M87" s="7"/>
      <c r="N87" s="6" t="s">
        <v>29</v>
      </c>
      <c r="O87" s="9" t="s">
        <v>226</v>
      </c>
      <c r="P87" s="115" t="s">
        <v>227</v>
      </c>
    </row>
    <row r="88" spans="1:16" ht="70" x14ac:dyDescent="0.35">
      <c r="A88" s="39">
        <f t="shared" si="1"/>
        <v>85</v>
      </c>
      <c r="B88" s="39" t="s">
        <v>220</v>
      </c>
      <c r="C88" s="25" t="s">
        <v>562</v>
      </c>
      <c r="D88" s="15" t="s">
        <v>563</v>
      </c>
      <c r="E88" s="5" t="s">
        <v>19</v>
      </c>
      <c r="F88" s="122" t="s">
        <v>223</v>
      </c>
      <c r="G88" s="84" t="s">
        <v>564</v>
      </c>
      <c r="H88" s="84" t="s">
        <v>22</v>
      </c>
      <c r="I88" s="84" t="s">
        <v>23</v>
      </c>
      <c r="J88" s="84" t="s">
        <v>224</v>
      </c>
      <c r="K88" s="84" t="s">
        <v>225</v>
      </c>
      <c r="L88" s="41"/>
      <c r="M88" s="82">
        <v>108</v>
      </c>
      <c r="N88" s="41" t="s">
        <v>29</v>
      </c>
      <c r="O88" s="82" t="s">
        <v>226</v>
      </c>
      <c r="P88" s="119" t="s">
        <v>227</v>
      </c>
    </row>
    <row r="89" spans="1:16" ht="40.5" customHeight="1" x14ac:dyDescent="0.35">
      <c r="A89" s="18">
        <f t="shared" si="1"/>
        <v>86</v>
      </c>
      <c r="B89" s="18" t="s">
        <v>232</v>
      </c>
      <c r="C89" s="18" t="s">
        <v>233</v>
      </c>
      <c r="D89" s="11" t="s">
        <v>234</v>
      </c>
      <c r="E89" s="11" t="s">
        <v>19</v>
      </c>
      <c r="F89" s="9"/>
      <c r="G89" s="9"/>
      <c r="H89" s="6" t="s">
        <v>22</v>
      </c>
      <c r="I89" s="6" t="s">
        <v>22</v>
      </c>
      <c r="J89" s="9"/>
      <c r="K89" s="9"/>
      <c r="L89" s="9"/>
      <c r="M89" s="7"/>
      <c r="N89" s="6" t="s">
        <v>25</v>
      </c>
      <c r="O89" s="9"/>
      <c r="P89" s="32"/>
    </row>
    <row r="90" spans="1:16" ht="111.75" customHeight="1" x14ac:dyDescent="0.35">
      <c r="A90" s="18">
        <f t="shared" si="1"/>
        <v>87</v>
      </c>
      <c r="B90" s="18" t="s">
        <v>235</v>
      </c>
      <c r="C90" s="18" t="s">
        <v>236</v>
      </c>
      <c r="D90" s="11" t="s">
        <v>237</v>
      </c>
      <c r="E90" s="11" t="s">
        <v>19</v>
      </c>
      <c r="F90" s="8" t="s">
        <v>235</v>
      </c>
      <c r="G90" s="8" t="s">
        <v>238</v>
      </c>
      <c r="H90" s="6" t="s">
        <v>22</v>
      </c>
      <c r="I90" s="6" t="s">
        <v>22</v>
      </c>
      <c r="J90" s="9"/>
      <c r="K90" s="9" t="s">
        <v>239</v>
      </c>
      <c r="L90" s="9"/>
      <c r="M90" s="7"/>
      <c r="N90" s="6" t="s">
        <v>29</v>
      </c>
      <c r="O90" s="9"/>
      <c r="P90" s="32"/>
    </row>
    <row r="91" spans="1:16" ht="69.75" customHeight="1" x14ac:dyDescent="0.35">
      <c r="A91" s="18">
        <f t="shared" si="1"/>
        <v>88</v>
      </c>
      <c r="B91" s="18" t="s">
        <v>235</v>
      </c>
      <c r="C91" s="18" t="s">
        <v>240</v>
      </c>
      <c r="D91" s="11" t="s">
        <v>241</v>
      </c>
      <c r="E91" s="11" t="s">
        <v>19</v>
      </c>
      <c r="F91" s="8" t="s">
        <v>235</v>
      </c>
      <c r="G91" s="8" t="s">
        <v>238</v>
      </c>
      <c r="H91" s="6" t="s">
        <v>22</v>
      </c>
      <c r="I91" s="6" t="s">
        <v>22</v>
      </c>
      <c r="J91" s="9"/>
      <c r="K91" s="8" t="s">
        <v>242</v>
      </c>
      <c r="L91" s="8" t="s">
        <v>243</v>
      </c>
      <c r="M91" s="8" t="s">
        <v>244</v>
      </c>
      <c r="N91" s="6" t="s">
        <v>29</v>
      </c>
      <c r="O91" s="9"/>
      <c r="P91" s="32"/>
    </row>
    <row r="92" spans="1:16" ht="55.5" customHeight="1" x14ac:dyDescent="0.35">
      <c r="A92" s="18">
        <f t="shared" si="1"/>
        <v>89</v>
      </c>
      <c r="B92" s="18" t="s">
        <v>235</v>
      </c>
      <c r="C92" s="18" t="s">
        <v>245</v>
      </c>
      <c r="D92" s="11" t="s">
        <v>246</v>
      </c>
      <c r="E92" s="11" t="s">
        <v>19</v>
      </c>
      <c r="F92" s="8" t="s">
        <v>235</v>
      </c>
      <c r="G92" s="8" t="s">
        <v>238</v>
      </c>
      <c r="H92" s="6" t="s">
        <v>22</v>
      </c>
      <c r="I92" s="6" t="s">
        <v>22</v>
      </c>
      <c r="J92" s="9"/>
      <c r="K92" s="9" t="s">
        <v>239</v>
      </c>
      <c r="L92" s="9"/>
      <c r="M92" s="7"/>
      <c r="N92" s="6" t="s">
        <v>29</v>
      </c>
      <c r="O92" s="9"/>
      <c r="P92" s="32"/>
    </row>
    <row r="93" spans="1:16" ht="42" customHeight="1" x14ac:dyDescent="0.35">
      <c r="A93" s="18">
        <f t="shared" si="1"/>
        <v>90</v>
      </c>
      <c r="B93" s="18" t="s">
        <v>235</v>
      </c>
      <c r="C93" s="18" t="s">
        <v>247</v>
      </c>
      <c r="D93" s="11" t="s">
        <v>248</v>
      </c>
      <c r="E93" s="11" t="s">
        <v>19</v>
      </c>
      <c r="F93" s="8" t="s">
        <v>235</v>
      </c>
      <c r="G93" s="8" t="s">
        <v>238</v>
      </c>
      <c r="H93" s="6" t="s">
        <v>22</v>
      </c>
      <c r="I93" s="6" t="s">
        <v>22</v>
      </c>
      <c r="J93" s="9"/>
      <c r="K93" s="8" t="s">
        <v>242</v>
      </c>
      <c r="L93" s="8" t="s">
        <v>249</v>
      </c>
      <c r="M93" s="8" t="s">
        <v>250</v>
      </c>
      <c r="N93" s="6" t="s">
        <v>29</v>
      </c>
      <c r="O93" s="9"/>
      <c r="P93" s="32"/>
    </row>
    <row r="94" spans="1:16" ht="42" customHeight="1" x14ac:dyDescent="0.35">
      <c r="A94" s="18">
        <f t="shared" si="1"/>
        <v>91</v>
      </c>
      <c r="B94" s="18" t="s">
        <v>235</v>
      </c>
      <c r="C94" s="18" t="s">
        <v>251</v>
      </c>
      <c r="D94" s="11" t="s">
        <v>252</v>
      </c>
      <c r="E94" s="11" t="s">
        <v>19</v>
      </c>
      <c r="F94" s="9" t="s">
        <v>235</v>
      </c>
      <c r="G94" s="44" t="s">
        <v>253</v>
      </c>
      <c r="H94" s="6" t="s">
        <v>22</v>
      </c>
      <c r="I94" s="6" t="s">
        <v>22</v>
      </c>
      <c r="J94" s="9"/>
      <c r="K94" s="9"/>
      <c r="L94" s="9"/>
      <c r="M94" s="45" t="s">
        <v>254</v>
      </c>
      <c r="N94" s="6" t="s">
        <v>25</v>
      </c>
      <c r="O94" s="44" t="s">
        <v>255</v>
      </c>
      <c r="P94" s="44" t="s">
        <v>256</v>
      </c>
    </row>
    <row r="95" spans="1:16" ht="42" customHeight="1" x14ac:dyDescent="0.35">
      <c r="A95" s="18">
        <f t="shared" si="1"/>
        <v>92</v>
      </c>
      <c r="B95" s="18" t="s">
        <v>235</v>
      </c>
      <c r="C95" s="18" t="s">
        <v>257</v>
      </c>
      <c r="D95" s="11" t="s">
        <v>258</v>
      </c>
      <c r="E95" s="11" t="s">
        <v>19</v>
      </c>
      <c r="F95" s="8" t="s">
        <v>89</v>
      </c>
      <c r="G95" s="8" t="s">
        <v>155</v>
      </c>
      <c r="H95" s="8" t="s">
        <v>156</v>
      </c>
      <c r="I95" s="8" t="s">
        <v>23</v>
      </c>
      <c r="J95" s="8" t="s">
        <v>259</v>
      </c>
      <c r="K95" s="46" t="s">
        <v>260</v>
      </c>
      <c r="L95" s="9"/>
      <c r="M95" s="114" t="s">
        <v>157</v>
      </c>
      <c r="N95" s="6" t="s">
        <v>158</v>
      </c>
      <c r="O95" s="9"/>
      <c r="P95" s="32"/>
    </row>
    <row r="96" spans="1:16" ht="97.5" customHeight="1" x14ac:dyDescent="0.35">
      <c r="A96" s="18">
        <f t="shared" si="1"/>
        <v>93</v>
      </c>
      <c r="B96" s="18" t="s">
        <v>235</v>
      </c>
      <c r="C96" s="19" t="s">
        <v>261</v>
      </c>
      <c r="D96" s="11" t="s">
        <v>262</v>
      </c>
      <c r="E96" s="11" t="s">
        <v>19</v>
      </c>
      <c r="F96" s="9"/>
      <c r="G96" s="9"/>
      <c r="H96" s="6" t="s">
        <v>22</v>
      </c>
      <c r="I96" s="6" t="s">
        <v>51</v>
      </c>
      <c r="J96" s="9"/>
      <c r="K96" s="9"/>
      <c r="L96" s="8" t="s">
        <v>52</v>
      </c>
      <c r="M96" s="7"/>
      <c r="N96" s="6" t="s">
        <v>25</v>
      </c>
      <c r="O96" s="9"/>
      <c r="P96" s="90">
        <v>3</v>
      </c>
    </row>
    <row r="97" spans="1:16" ht="14.25" customHeight="1" x14ac:dyDescent="0.35">
      <c r="A97" s="4">
        <f t="shared" si="1"/>
        <v>94</v>
      </c>
      <c r="B97" s="4" t="s">
        <v>235</v>
      </c>
      <c r="C97" s="4" t="s">
        <v>263</v>
      </c>
      <c r="D97" s="4" t="s">
        <v>264</v>
      </c>
      <c r="E97" s="4" t="s">
        <v>19</v>
      </c>
      <c r="F97" s="6" t="s">
        <v>235</v>
      </c>
      <c r="G97" s="6" t="s">
        <v>155</v>
      </c>
      <c r="H97" s="8" t="s">
        <v>265</v>
      </c>
      <c r="I97" s="6" t="s">
        <v>23</v>
      </c>
      <c r="J97" s="6" t="s">
        <v>266</v>
      </c>
      <c r="K97" s="6" t="s">
        <v>267</v>
      </c>
      <c r="L97" s="6"/>
      <c r="M97" s="6"/>
      <c r="N97" s="6" t="s">
        <v>158</v>
      </c>
      <c r="O97" s="6"/>
      <c r="P97" s="6"/>
    </row>
    <row r="98" spans="1:16" ht="14" customHeight="1" x14ac:dyDescent="0.35">
      <c r="A98" s="18">
        <f t="shared" si="1"/>
        <v>95</v>
      </c>
      <c r="B98" s="18" t="s">
        <v>235</v>
      </c>
      <c r="C98" s="18" t="s">
        <v>565</v>
      </c>
      <c r="D98" s="11" t="s">
        <v>566</v>
      </c>
      <c r="E98" s="5" t="s">
        <v>19</v>
      </c>
      <c r="F98" s="44" t="s">
        <v>235</v>
      </c>
      <c r="G98" s="44" t="s">
        <v>253</v>
      </c>
      <c r="H98" s="56" t="s">
        <v>567</v>
      </c>
      <c r="I98" s="56" t="s">
        <v>23</v>
      </c>
      <c r="J98" s="57"/>
      <c r="K98" s="58"/>
      <c r="L98" s="58"/>
      <c r="M98" s="58" t="s">
        <v>568</v>
      </c>
      <c r="N98" s="56" t="s">
        <v>569</v>
      </c>
      <c r="O98" s="58" t="s">
        <v>255</v>
      </c>
      <c r="P98" s="58" t="s">
        <v>256</v>
      </c>
    </row>
    <row r="99" spans="1:16" ht="14.25" customHeight="1" x14ac:dyDescent="0.35">
      <c r="A99" s="39">
        <f t="shared" si="1"/>
        <v>96</v>
      </c>
      <c r="B99" s="39" t="s">
        <v>235</v>
      </c>
      <c r="C99" s="25" t="s">
        <v>570</v>
      </c>
      <c r="D99" s="15" t="s">
        <v>571</v>
      </c>
      <c r="E99" s="5" t="s">
        <v>19</v>
      </c>
      <c r="F99" s="59" t="s">
        <v>235</v>
      </c>
      <c r="G99" s="60" t="s">
        <v>572</v>
      </c>
      <c r="H99" s="41"/>
      <c r="I99" s="41"/>
      <c r="J99" s="55"/>
      <c r="K99" s="55"/>
      <c r="L99" s="55"/>
      <c r="M99" s="55"/>
      <c r="N99" s="41" t="s">
        <v>29</v>
      </c>
      <c r="O99" s="55"/>
      <c r="P99" s="55"/>
    </row>
    <row r="100" spans="1:16" ht="14" customHeight="1" x14ac:dyDescent="0.35">
      <c r="A100" s="39">
        <f t="shared" si="1"/>
        <v>97</v>
      </c>
      <c r="B100" s="39" t="s">
        <v>235</v>
      </c>
      <c r="C100" s="25" t="s">
        <v>573</v>
      </c>
      <c r="D100" s="15" t="s">
        <v>574</v>
      </c>
      <c r="E100" s="5" t="s">
        <v>19</v>
      </c>
      <c r="F100" s="59" t="s">
        <v>235</v>
      </c>
      <c r="G100" s="60" t="s">
        <v>572</v>
      </c>
      <c r="H100" s="41"/>
      <c r="I100" s="41"/>
      <c r="J100" s="55"/>
      <c r="K100" s="55"/>
      <c r="L100" s="55"/>
      <c r="M100" s="55"/>
      <c r="N100" s="41" t="s">
        <v>29</v>
      </c>
      <c r="O100" s="55"/>
      <c r="P100" s="55"/>
    </row>
    <row r="101" spans="1:16" ht="55.5" customHeight="1" x14ac:dyDescent="0.35">
      <c r="A101" s="18">
        <f t="shared" si="1"/>
        <v>98</v>
      </c>
      <c r="B101" s="18" t="s">
        <v>268</v>
      </c>
      <c r="C101" s="18" t="s">
        <v>269</v>
      </c>
      <c r="D101" s="11" t="s">
        <v>270</v>
      </c>
      <c r="E101" s="11" t="s">
        <v>19</v>
      </c>
      <c r="F101" s="20" t="s">
        <v>271</v>
      </c>
      <c r="G101" s="20" t="s">
        <v>272</v>
      </c>
      <c r="H101" s="6" t="s">
        <v>65</v>
      </c>
      <c r="I101" s="6" t="s">
        <v>70</v>
      </c>
      <c r="J101" s="21"/>
      <c r="K101" s="21"/>
      <c r="L101" s="20" t="s">
        <v>273</v>
      </c>
      <c r="M101" s="47"/>
      <c r="N101" s="6" t="s">
        <v>25</v>
      </c>
      <c r="O101" s="21"/>
      <c r="P101" s="43"/>
    </row>
    <row r="102" spans="1:16" ht="55.5" customHeight="1" x14ac:dyDescent="0.35">
      <c r="A102" s="18">
        <f t="shared" si="1"/>
        <v>99</v>
      </c>
      <c r="B102" s="18" t="s">
        <v>268</v>
      </c>
      <c r="C102" s="18" t="s">
        <v>274</v>
      </c>
      <c r="D102" s="11" t="s">
        <v>275</v>
      </c>
      <c r="E102" s="11" t="s">
        <v>19</v>
      </c>
      <c r="F102" s="20" t="s">
        <v>271</v>
      </c>
      <c r="G102" s="20" t="s">
        <v>272</v>
      </c>
      <c r="H102" s="6" t="s">
        <v>65</v>
      </c>
      <c r="I102" s="6" t="s">
        <v>70</v>
      </c>
      <c r="J102" s="21"/>
      <c r="K102" s="21"/>
      <c r="L102" s="20" t="s">
        <v>276</v>
      </c>
      <c r="M102" s="47"/>
      <c r="N102" s="6" t="s">
        <v>25</v>
      </c>
      <c r="O102" s="21"/>
      <c r="P102" s="43"/>
    </row>
    <row r="103" spans="1:16" ht="69.75" customHeight="1" x14ac:dyDescent="0.35">
      <c r="A103" s="18">
        <f t="shared" si="1"/>
        <v>100</v>
      </c>
      <c r="B103" s="18" t="s">
        <v>268</v>
      </c>
      <c r="C103" s="18" t="s">
        <v>277</v>
      </c>
      <c r="D103" s="11" t="s">
        <v>278</v>
      </c>
      <c r="E103" s="11" t="s">
        <v>19</v>
      </c>
      <c r="F103" s="20" t="s">
        <v>271</v>
      </c>
      <c r="G103" s="20" t="s">
        <v>279</v>
      </c>
      <c r="H103" s="6" t="s">
        <v>65</v>
      </c>
      <c r="I103" s="6" t="s">
        <v>70</v>
      </c>
      <c r="J103" s="21"/>
      <c r="K103" s="21"/>
      <c r="L103" s="20" t="s">
        <v>280</v>
      </c>
      <c r="M103" s="47"/>
      <c r="N103" s="6" t="s">
        <v>25</v>
      </c>
      <c r="O103" s="21"/>
      <c r="P103" s="43"/>
    </row>
    <row r="104" spans="1:16" ht="55.5" customHeight="1" x14ac:dyDescent="0.35">
      <c r="A104" s="18">
        <f t="shared" si="1"/>
        <v>101</v>
      </c>
      <c r="B104" s="18" t="s">
        <v>268</v>
      </c>
      <c r="C104" s="18" t="s">
        <v>281</v>
      </c>
      <c r="D104" s="11" t="s">
        <v>282</v>
      </c>
      <c r="E104" s="11" t="s">
        <v>19</v>
      </c>
      <c r="F104" s="20" t="s">
        <v>271</v>
      </c>
      <c r="G104" s="20" t="s">
        <v>279</v>
      </c>
      <c r="H104" s="6" t="s">
        <v>65</v>
      </c>
      <c r="I104" s="6" t="s">
        <v>70</v>
      </c>
      <c r="J104" s="21"/>
      <c r="K104" s="21"/>
      <c r="L104" s="20" t="s">
        <v>283</v>
      </c>
      <c r="M104" s="47"/>
      <c r="N104" s="6" t="s">
        <v>25</v>
      </c>
      <c r="O104" s="21"/>
      <c r="P104" s="43"/>
    </row>
    <row r="105" spans="1:16" ht="55.5" customHeight="1" x14ac:dyDescent="0.35">
      <c r="A105" s="18">
        <f t="shared" si="1"/>
        <v>102</v>
      </c>
      <c r="B105" s="18" t="s">
        <v>268</v>
      </c>
      <c r="C105" s="18" t="s">
        <v>284</v>
      </c>
      <c r="D105" s="11" t="s">
        <v>285</v>
      </c>
      <c r="E105" s="11" t="s">
        <v>19</v>
      </c>
      <c r="F105" s="20" t="s">
        <v>271</v>
      </c>
      <c r="G105" s="20" t="s">
        <v>279</v>
      </c>
      <c r="H105" s="6" t="s">
        <v>65</v>
      </c>
      <c r="I105" s="6" t="s">
        <v>70</v>
      </c>
      <c r="J105" s="21"/>
      <c r="K105" s="21"/>
      <c r="L105" s="20" t="s">
        <v>286</v>
      </c>
      <c r="M105" s="47"/>
      <c r="N105" s="6" t="s">
        <v>25</v>
      </c>
      <c r="O105" s="21"/>
      <c r="P105" s="43"/>
    </row>
    <row r="106" spans="1:16" ht="42" customHeight="1" x14ac:dyDescent="0.35">
      <c r="A106" s="18">
        <f t="shared" si="1"/>
        <v>103</v>
      </c>
      <c r="B106" s="18" t="s">
        <v>268</v>
      </c>
      <c r="C106" s="18" t="s">
        <v>287</v>
      </c>
      <c r="D106" s="11" t="s">
        <v>288</v>
      </c>
      <c r="E106" s="11" t="s">
        <v>19</v>
      </c>
      <c r="F106" s="20" t="s">
        <v>271</v>
      </c>
      <c r="G106" s="20" t="s">
        <v>279</v>
      </c>
      <c r="H106" s="6" t="s">
        <v>65</v>
      </c>
      <c r="I106" s="6" t="s">
        <v>70</v>
      </c>
      <c r="J106" s="21"/>
      <c r="K106" s="21"/>
      <c r="L106" s="20" t="s">
        <v>289</v>
      </c>
      <c r="M106" s="47"/>
      <c r="N106" s="6" t="s">
        <v>25</v>
      </c>
      <c r="O106" s="6" t="s">
        <v>510</v>
      </c>
      <c r="P106" s="43"/>
    </row>
    <row r="107" spans="1:16" ht="97.5" customHeight="1" x14ac:dyDescent="0.35">
      <c r="A107" s="18">
        <f t="shared" si="1"/>
        <v>104</v>
      </c>
      <c r="B107" s="18" t="s">
        <v>268</v>
      </c>
      <c r="C107" s="18" t="s">
        <v>290</v>
      </c>
      <c r="D107" s="11" t="s">
        <v>291</v>
      </c>
      <c r="E107" s="11" t="s">
        <v>19</v>
      </c>
      <c r="F107" s="20" t="s">
        <v>271</v>
      </c>
      <c r="G107" s="20" t="s">
        <v>279</v>
      </c>
      <c r="H107" s="6" t="s">
        <v>65</v>
      </c>
      <c r="I107" s="6" t="s">
        <v>70</v>
      </c>
      <c r="J107" s="21"/>
      <c r="K107" s="21"/>
      <c r="L107" s="20" t="s">
        <v>292</v>
      </c>
      <c r="M107" s="47"/>
      <c r="N107" s="6" t="s">
        <v>25</v>
      </c>
      <c r="O107" s="21"/>
      <c r="P107" s="115">
        <v>1</v>
      </c>
    </row>
    <row r="108" spans="1:16" ht="27.75" customHeight="1" x14ac:dyDescent="0.35">
      <c r="A108" s="18">
        <f t="shared" si="1"/>
        <v>105</v>
      </c>
      <c r="B108" s="18" t="s">
        <v>268</v>
      </c>
      <c r="C108" s="18" t="s">
        <v>293</v>
      </c>
      <c r="D108" s="11" t="s">
        <v>294</v>
      </c>
      <c r="E108" s="11" t="s">
        <v>19</v>
      </c>
      <c r="F108" s="20" t="s">
        <v>271</v>
      </c>
      <c r="G108" s="20" t="s">
        <v>279</v>
      </c>
      <c r="H108" s="6" t="s">
        <v>65</v>
      </c>
      <c r="I108" s="6" t="s">
        <v>70</v>
      </c>
      <c r="J108" s="21"/>
      <c r="K108" s="21"/>
      <c r="L108" s="20" t="s">
        <v>295</v>
      </c>
      <c r="M108" s="47"/>
      <c r="N108" s="6" t="s">
        <v>25</v>
      </c>
      <c r="O108" s="21"/>
      <c r="P108" s="115">
        <v>1</v>
      </c>
    </row>
    <row r="109" spans="1:16" ht="97.5" customHeight="1" x14ac:dyDescent="0.35">
      <c r="A109" s="18">
        <f t="shared" si="1"/>
        <v>106</v>
      </c>
      <c r="B109" s="18" t="s">
        <v>268</v>
      </c>
      <c r="C109" s="18" t="s">
        <v>296</v>
      </c>
      <c r="D109" s="11" t="s">
        <v>297</v>
      </c>
      <c r="E109" s="11" t="s">
        <v>19</v>
      </c>
      <c r="F109" s="20" t="s">
        <v>298</v>
      </c>
      <c r="G109" s="20" t="s">
        <v>299</v>
      </c>
      <c r="H109" s="6" t="s">
        <v>65</v>
      </c>
      <c r="I109" s="6" t="s">
        <v>70</v>
      </c>
      <c r="J109" s="21"/>
      <c r="K109" s="6" t="s">
        <v>300</v>
      </c>
      <c r="L109" s="21">
        <v>0</v>
      </c>
      <c r="M109" s="47"/>
      <c r="N109" s="6" t="s">
        <v>29</v>
      </c>
      <c r="O109" s="21"/>
      <c r="P109" s="115" t="s">
        <v>256</v>
      </c>
    </row>
    <row r="110" spans="1:16" ht="111.75" customHeight="1" x14ac:dyDescent="0.35">
      <c r="A110" s="18">
        <f t="shared" si="1"/>
        <v>107</v>
      </c>
      <c r="B110" s="18" t="s">
        <v>268</v>
      </c>
      <c r="C110" s="18" t="s">
        <v>301</v>
      </c>
      <c r="D110" s="11" t="s">
        <v>302</v>
      </c>
      <c r="E110" s="11" t="s">
        <v>19</v>
      </c>
      <c r="F110" s="20" t="s">
        <v>298</v>
      </c>
      <c r="G110" s="20" t="s">
        <v>299</v>
      </c>
      <c r="H110" s="6" t="s">
        <v>65</v>
      </c>
      <c r="I110" s="6" t="s">
        <v>70</v>
      </c>
      <c r="J110" s="6" t="s">
        <v>303</v>
      </c>
      <c r="K110" s="6" t="s">
        <v>300</v>
      </c>
      <c r="L110" s="6">
        <v>0</v>
      </c>
      <c r="M110" s="47"/>
      <c r="N110" s="6" t="s">
        <v>29</v>
      </c>
      <c r="O110" s="21"/>
      <c r="P110" s="115" t="s">
        <v>256</v>
      </c>
    </row>
    <row r="111" spans="1:16" ht="111.75" customHeight="1" x14ac:dyDescent="0.35">
      <c r="A111" s="18">
        <f t="shared" si="1"/>
        <v>108</v>
      </c>
      <c r="B111" s="18" t="s">
        <v>268</v>
      </c>
      <c r="C111" s="18" t="s">
        <v>304</v>
      </c>
      <c r="D111" s="11" t="s">
        <v>305</v>
      </c>
      <c r="E111" s="11" t="s">
        <v>19</v>
      </c>
      <c r="F111" s="20" t="s">
        <v>306</v>
      </c>
      <c r="G111" s="20" t="s">
        <v>307</v>
      </c>
      <c r="H111" s="6" t="s">
        <v>65</v>
      </c>
      <c r="I111" s="21"/>
      <c r="J111" s="21"/>
      <c r="K111" s="21"/>
      <c r="L111" s="21"/>
      <c r="M111" s="47"/>
      <c r="N111" s="6" t="s">
        <v>29</v>
      </c>
      <c r="O111" s="21"/>
      <c r="P111" s="115" t="s">
        <v>256</v>
      </c>
    </row>
    <row r="112" spans="1:16" ht="42" customHeight="1" x14ac:dyDescent="0.35">
      <c r="A112" s="18">
        <f t="shared" si="1"/>
        <v>109</v>
      </c>
      <c r="B112" s="18" t="s">
        <v>268</v>
      </c>
      <c r="C112" s="18" t="s">
        <v>308</v>
      </c>
      <c r="D112" s="11" t="s">
        <v>309</v>
      </c>
      <c r="E112" s="11" t="s">
        <v>19</v>
      </c>
      <c r="F112" s="20" t="s">
        <v>271</v>
      </c>
      <c r="G112" s="20" t="s">
        <v>279</v>
      </c>
      <c r="H112" s="6" t="s">
        <v>65</v>
      </c>
      <c r="I112" s="6" t="s">
        <v>310</v>
      </c>
      <c r="J112" s="21"/>
      <c r="K112" s="21"/>
      <c r="L112" s="21" t="s">
        <v>286</v>
      </c>
      <c r="M112" s="47"/>
      <c r="N112" s="6" t="s">
        <v>29</v>
      </c>
      <c r="O112" s="21"/>
      <c r="P112" s="43"/>
    </row>
    <row r="113" spans="1:16" ht="27.75" customHeight="1" x14ac:dyDescent="0.35">
      <c r="A113" s="18">
        <f t="shared" si="1"/>
        <v>110</v>
      </c>
      <c r="B113" s="18" t="s">
        <v>268</v>
      </c>
      <c r="C113" s="18" t="s">
        <v>311</v>
      </c>
      <c r="D113" s="11" t="s">
        <v>312</v>
      </c>
      <c r="E113" s="11" t="s">
        <v>19</v>
      </c>
      <c r="F113" s="20" t="s">
        <v>271</v>
      </c>
      <c r="G113" s="20" t="s">
        <v>279</v>
      </c>
      <c r="H113" s="6" t="s">
        <v>22</v>
      </c>
      <c r="I113" s="6" t="s">
        <v>23</v>
      </c>
      <c r="J113" s="21"/>
      <c r="K113" s="21"/>
      <c r="L113" s="20" t="s">
        <v>313</v>
      </c>
      <c r="M113" s="47"/>
      <c r="N113" s="6" t="s">
        <v>25</v>
      </c>
      <c r="O113" s="21"/>
      <c r="P113" s="43"/>
    </row>
    <row r="114" spans="1:16" ht="22" customHeight="1" x14ac:dyDescent="0.35">
      <c r="A114" s="18">
        <f t="shared" si="1"/>
        <v>111</v>
      </c>
      <c r="B114" s="18" t="s">
        <v>268</v>
      </c>
      <c r="C114" s="33" t="s">
        <v>575</v>
      </c>
      <c r="D114" s="11" t="s">
        <v>305</v>
      </c>
      <c r="E114" s="5" t="s">
        <v>19</v>
      </c>
      <c r="F114" s="61" t="s">
        <v>306</v>
      </c>
      <c r="G114" s="62" t="s">
        <v>307</v>
      </c>
      <c r="H114" s="56" t="s">
        <v>65</v>
      </c>
      <c r="I114" s="63"/>
      <c r="J114" s="63"/>
      <c r="K114" s="63"/>
      <c r="L114" s="63"/>
      <c r="M114" s="63"/>
      <c r="N114" s="56" t="s">
        <v>29</v>
      </c>
      <c r="O114" s="63"/>
      <c r="P114" s="62" t="s">
        <v>256</v>
      </c>
    </row>
    <row r="115" spans="1:16" ht="25.5" customHeight="1" x14ac:dyDescent="0.35">
      <c r="A115" s="39">
        <f t="shared" si="1"/>
        <v>112</v>
      </c>
      <c r="B115" s="39" t="s">
        <v>268</v>
      </c>
      <c r="C115" s="25" t="s">
        <v>576</v>
      </c>
      <c r="D115" s="15" t="s">
        <v>577</v>
      </c>
      <c r="E115" s="5" t="s">
        <v>19</v>
      </c>
      <c r="F115" s="64"/>
      <c r="G115" s="55" t="s">
        <v>578</v>
      </c>
      <c r="H115" s="41"/>
      <c r="I115" s="41"/>
      <c r="J115" s="55"/>
      <c r="K115" s="55"/>
      <c r="L115" s="55"/>
      <c r="M115" s="55"/>
      <c r="N115" s="41" t="s">
        <v>29</v>
      </c>
      <c r="O115" s="55"/>
      <c r="P115" s="55"/>
    </row>
    <row r="116" spans="1:16" ht="30" customHeight="1" x14ac:dyDescent="0.35">
      <c r="A116" s="39">
        <f t="shared" si="1"/>
        <v>113</v>
      </c>
      <c r="B116" s="39" t="s">
        <v>268</v>
      </c>
      <c r="C116" s="25" t="s">
        <v>579</v>
      </c>
      <c r="D116" s="15" t="s">
        <v>580</v>
      </c>
      <c r="E116" s="5" t="s">
        <v>19</v>
      </c>
      <c r="F116" s="64"/>
      <c r="G116" s="55" t="s">
        <v>578</v>
      </c>
      <c r="H116" s="41"/>
      <c r="I116" s="41"/>
      <c r="J116" s="55"/>
      <c r="K116" s="55"/>
      <c r="L116" s="55"/>
      <c r="M116" s="55"/>
      <c r="N116" s="41" t="s">
        <v>581</v>
      </c>
      <c r="O116" s="55"/>
      <c r="P116" s="55"/>
    </row>
    <row r="117" spans="1:16" ht="55.5" customHeight="1" x14ac:dyDescent="0.35">
      <c r="A117" s="18">
        <f t="shared" si="1"/>
        <v>114</v>
      </c>
      <c r="B117" s="18" t="s">
        <v>268</v>
      </c>
      <c r="C117" s="18" t="s">
        <v>314</v>
      </c>
      <c r="D117" s="11" t="s">
        <v>315</v>
      </c>
      <c r="E117" s="11" t="s">
        <v>19</v>
      </c>
      <c r="F117" s="20" t="s">
        <v>271</v>
      </c>
      <c r="G117" s="20" t="s">
        <v>279</v>
      </c>
      <c r="H117" s="6" t="s">
        <v>65</v>
      </c>
      <c r="I117" s="6" t="s">
        <v>310</v>
      </c>
      <c r="J117" s="21"/>
      <c r="K117" s="21"/>
      <c r="L117" s="20" t="s">
        <v>316</v>
      </c>
      <c r="M117" s="47"/>
      <c r="N117" s="6" t="s">
        <v>25</v>
      </c>
      <c r="O117" s="21"/>
      <c r="P117" s="43"/>
    </row>
    <row r="118" spans="1:16" ht="48.5" customHeight="1" x14ac:dyDescent="0.35">
      <c r="A118" s="4">
        <f t="shared" si="1"/>
        <v>115</v>
      </c>
      <c r="B118" s="4" t="s">
        <v>317</v>
      </c>
      <c r="C118" s="4" t="s">
        <v>318</v>
      </c>
      <c r="D118" s="4" t="s">
        <v>319</v>
      </c>
      <c r="E118" s="4" t="s">
        <v>19</v>
      </c>
      <c r="F118" s="6" t="s">
        <v>317</v>
      </c>
      <c r="G118" s="6" t="s">
        <v>155</v>
      </c>
      <c r="H118" s="8" t="s">
        <v>265</v>
      </c>
      <c r="I118" s="8" t="s">
        <v>23</v>
      </c>
      <c r="J118" s="48">
        <v>10000</v>
      </c>
      <c r="K118" s="6">
        <v>0</v>
      </c>
      <c r="L118" s="6"/>
      <c r="M118" s="6"/>
      <c r="N118" s="6" t="s">
        <v>158</v>
      </c>
      <c r="O118" s="6"/>
      <c r="P118" s="6"/>
    </row>
    <row r="119" spans="1:16" ht="60" customHeight="1" x14ac:dyDescent="0.35">
      <c r="A119" s="39">
        <f t="shared" si="1"/>
        <v>116</v>
      </c>
      <c r="B119" s="39" t="s">
        <v>320</v>
      </c>
      <c r="C119" s="25" t="s">
        <v>582</v>
      </c>
      <c r="D119" s="15" t="s">
        <v>583</v>
      </c>
      <c r="E119" s="5" t="s">
        <v>19</v>
      </c>
      <c r="F119" s="65" t="s">
        <v>317</v>
      </c>
      <c r="G119" s="92" t="s">
        <v>687</v>
      </c>
      <c r="H119" s="92" t="s">
        <v>265</v>
      </c>
      <c r="I119" s="92" t="s">
        <v>23</v>
      </c>
      <c r="J119" s="92"/>
      <c r="K119" s="92" t="s">
        <v>688</v>
      </c>
      <c r="L119" s="92" t="s">
        <v>689</v>
      </c>
      <c r="M119" s="92" t="s">
        <v>690</v>
      </c>
      <c r="N119" s="93" t="s">
        <v>158</v>
      </c>
      <c r="O119" s="92"/>
      <c r="P119" s="92" t="s">
        <v>675</v>
      </c>
    </row>
    <row r="120" spans="1:16" ht="139.5" customHeight="1" x14ac:dyDescent="0.35">
      <c r="A120" s="112">
        <f>ROW()-3</f>
        <v>117</v>
      </c>
      <c r="B120" s="106" t="s">
        <v>320</v>
      </c>
      <c r="C120" s="106" t="s">
        <v>691</v>
      </c>
      <c r="D120" s="106" t="s">
        <v>692</v>
      </c>
      <c r="E120" s="106" t="s">
        <v>19</v>
      </c>
      <c r="F120" s="107" t="s">
        <v>321</v>
      </c>
      <c r="G120" s="106" t="s">
        <v>322</v>
      </c>
      <c r="H120" s="106" t="s">
        <v>265</v>
      </c>
      <c r="I120" s="106" t="s">
        <v>23</v>
      </c>
      <c r="J120" s="106" t="s">
        <v>286</v>
      </c>
      <c r="K120" s="106" t="s">
        <v>286</v>
      </c>
      <c r="L120" s="106" t="s">
        <v>286</v>
      </c>
      <c r="M120" s="106"/>
      <c r="N120" s="106" t="s">
        <v>29</v>
      </c>
      <c r="O120" s="106"/>
      <c r="P120" s="106" t="s">
        <v>675</v>
      </c>
    </row>
    <row r="121" spans="1:16" ht="42" customHeight="1" x14ac:dyDescent="0.35">
      <c r="A121" s="18">
        <f t="shared" si="1"/>
        <v>118</v>
      </c>
      <c r="B121" s="18" t="s">
        <v>323</v>
      </c>
      <c r="C121" s="18" t="s">
        <v>324</v>
      </c>
      <c r="D121" s="11" t="s">
        <v>325</v>
      </c>
      <c r="E121" s="11" t="s">
        <v>19</v>
      </c>
      <c r="F121" s="9"/>
      <c r="G121" s="9"/>
      <c r="H121" s="9"/>
      <c r="I121" s="9"/>
      <c r="J121" s="9"/>
      <c r="K121" s="9"/>
      <c r="L121" s="9"/>
      <c r="M121" s="7"/>
      <c r="N121" s="6" t="s">
        <v>25</v>
      </c>
      <c r="O121" s="9"/>
      <c r="P121" s="32"/>
    </row>
    <row r="122" spans="1:16" ht="42" customHeight="1" x14ac:dyDescent="0.35">
      <c r="A122" s="18">
        <f t="shared" si="1"/>
        <v>119</v>
      </c>
      <c r="B122" s="18" t="s">
        <v>323</v>
      </c>
      <c r="C122" s="18" t="s">
        <v>326</v>
      </c>
      <c r="D122" s="11" t="s">
        <v>327</v>
      </c>
      <c r="E122" s="11" t="s">
        <v>19</v>
      </c>
      <c r="F122" s="9"/>
      <c r="G122" s="9"/>
      <c r="H122" s="9"/>
      <c r="I122" s="9"/>
      <c r="J122" s="9"/>
      <c r="K122" s="9"/>
      <c r="L122" s="9"/>
      <c r="M122" s="7"/>
      <c r="N122" s="6" t="s">
        <v>29</v>
      </c>
      <c r="O122" s="9"/>
      <c r="P122" s="32"/>
    </row>
    <row r="123" spans="1:16" ht="42" customHeight="1" x14ac:dyDescent="0.35">
      <c r="A123" s="18">
        <f t="shared" si="1"/>
        <v>120</v>
      </c>
      <c r="B123" s="18" t="s">
        <v>323</v>
      </c>
      <c r="C123" s="18" t="s">
        <v>328</v>
      </c>
      <c r="D123" s="11" t="s">
        <v>329</v>
      </c>
      <c r="E123" s="11" t="s">
        <v>19</v>
      </c>
      <c r="F123" s="9"/>
      <c r="G123" s="9"/>
      <c r="H123" s="9"/>
      <c r="I123" s="9"/>
      <c r="J123" s="9"/>
      <c r="K123" s="9"/>
      <c r="L123" s="9"/>
      <c r="M123" s="7"/>
      <c r="N123" s="6" t="s">
        <v>25</v>
      </c>
      <c r="O123" s="9"/>
      <c r="P123" s="32"/>
    </row>
    <row r="124" spans="1:16" ht="55.5" customHeight="1" x14ac:dyDescent="0.35">
      <c r="A124" s="18">
        <f t="shared" si="1"/>
        <v>121</v>
      </c>
      <c r="B124" s="18" t="s">
        <v>323</v>
      </c>
      <c r="C124" s="18" t="s">
        <v>330</v>
      </c>
      <c r="D124" s="11" t="s">
        <v>331</v>
      </c>
      <c r="E124" s="11" t="s">
        <v>19</v>
      </c>
      <c r="F124" s="9"/>
      <c r="G124" s="9"/>
      <c r="H124" s="9"/>
      <c r="I124" s="9"/>
      <c r="J124" s="9"/>
      <c r="K124" s="9"/>
      <c r="L124" s="9"/>
      <c r="M124" s="7"/>
      <c r="N124" s="6" t="s">
        <v>25</v>
      </c>
      <c r="O124" s="9"/>
      <c r="P124" s="32"/>
    </row>
    <row r="125" spans="1:16" ht="42" customHeight="1" x14ac:dyDescent="0.35">
      <c r="A125" s="18">
        <f t="shared" si="1"/>
        <v>122</v>
      </c>
      <c r="B125" s="18" t="s">
        <v>323</v>
      </c>
      <c r="C125" s="18" t="s">
        <v>332</v>
      </c>
      <c r="D125" s="11" t="s">
        <v>333</v>
      </c>
      <c r="E125" s="11" t="s">
        <v>19</v>
      </c>
      <c r="F125" s="9"/>
      <c r="G125" s="9"/>
      <c r="H125" s="9"/>
      <c r="I125" s="9"/>
      <c r="J125" s="9"/>
      <c r="K125" s="9"/>
      <c r="L125" s="9"/>
      <c r="M125" s="7"/>
      <c r="N125" s="6" t="s">
        <v>29</v>
      </c>
      <c r="O125" s="9"/>
      <c r="P125" s="32"/>
    </row>
    <row r="126" spans="1:16" ht="55.5" customHeight="1" x14ac:dyDescent="0.35">
      <c r="A126" s="18">
        <f t="shared" si="1"/>
        <v>123</v>
      </c>
      <c r="B126" s="18" t="s">
        <v>323</v>
      </c>
      <c r="C126" s="18" t="s">
        <v>334</v>
      </c>
      <c r="D126" s="11" t="s">
        <v>335</v>
      </c>
      <c r="E126" s="11" t="s">
        <v>19</v>
      </c>
      <c r="F126" s="9"/>
      <c r="G126" s="9"/>
      <c r="H126" s="9"/>
      <c r="I126" s="9"/>
      <c r="J126" s="9"/>
      <c r="K126" s="9"/>
      <c r="L126" s="9"/>
      <c r="M126" s="7"/>
      <c r="N126" s="6" t="s">
        <v>29</v>
      </c>
      <c r="O126" s="9"/>
      <c r="P126" s="32"/>
    </row>
    <row r="127" spans="1:16" ht="69.75" customHeight="1" x14ac:dyDescent="0.35">
      <c r="A127" s="18">
        <f t="shared" si="1"/>
        <v>124</v>
      </c>
      <c r="B127" s="18" t="s">
        <v>323</v>
      </c>
      <c r="C127" s="18" t="s">
        <v>336</v>
      </c>
      <c r="D127" s="11" t="s">
        <v>337</v>
      </c>
      <c r="E127" s="11" t="s">
        <v>19</v>
      </c>
      <c r="F127" s="8" t="s">
        <v>323</v>
      </c>
      <c r="G127" s="8" t="s">
        <v>155</v>
      </c>
      <c r="H127" s="8" t="s">
        <v>265</v>
      </c>
      <c r="I127" s="8" t="s">
        <v>23</v>
      </c>
      <c r="J127" s="8" t="s">
        <v>338</v>
      </c>
      <c r="K127" s="8" t="s">
        <v>339</v>
      </c>
      <c r="L127" s="9"/>
      <c r="M127" s="114" t="s">
        <v>340</v>
      </c>
      <c r="N127" s="6" t="s">
        <v>29</v>
      </c>
      <c r="O127" s="9"/>
      <c r="P127" s="32"/>
    </row>
    <row r="128" spans="1:16" ht="55.5" customHeight="1" x14ac:dyDescent="0.35">
      <c r="A128" s="18">
        <f t="shared" si="1"/>
        <v>125</v>
      </c>
      <c r="B128" s="18" t="s">
        <v>323</v>
      </c>
      <c r="C128" s="18" t="s">
        <v>341</v>
      </c>
      <c r="D128" s="11" t="s">
        <v>342</v>
      </c>
      <c r="E128" s="11" t="s">
        <v>19</v>
      </c>
      <c r="F128" s="9"/>
      <c r="G128" s="9"/>
      <c r="H128" s="9"/>
      <c r="I128" s="9"/>
      <c r="J128" s="9"/>
      <c r="K128" s="9"/>
      <c r="L128" s="9"/>
      <c r="M128" s="7"/>
      <c r="N128" s="6" t="s">
        <v>29</v>
      </c>
      <c r="O128" s="9"/>
      <c r="P128" s="32"/>
    </row>
    <row r="129" spans="1:16" ht="252" customHeight="1" x14ac:dyDescent="0.35">
      <c r="A129" s="18">
        <f t="shared" ref="A129:A193" si="2">ROW()-3</f>
        <v>126</v>
      </c>
      <c r="B129" s="18" t="s">
        <v>323</v>
      </c>
      <c r="C129" s="18" t="s">
        <v>343</v>
      </c>
      <c r="D129" s="11" t="s">
        <v>344</v>
      </c>
      <c r="E129" s="11" t="s">
        <v>19</v>
      </c>
      <c r="F129" s="9"/>
      <c r="G129" s="9"/>
      <c r="H129" s="9"/>
      <c r="I129" s="9"/>
      <c r="J129" s="9"/>
      <c r="K129" s="9"/>
      <c r="L129" s="9"/>
      <c r="M129" s="7"/>
      <c r="N129" s="6" t="s">
        <v>25</v>
      </c>
      <c r="O129" s="9"/>
      <c r="P129" s="32"/>
    </row>
    <row r="130" spans="1:16" ht="57" customHeight="1" x14ac:dyDescent="0.35">
      <c r="A130" s="18">
        <f t="shared" si="2"/>
        <v>127</v>
      </c>
      <c r="B130" s="18" t="s">
        <v>323</v>
      </c>
      <c r="C130" s="22" t="s">
        <v>345</v>
      </c>
      <c r="D130" s="11" t="s">
        <v>346</v>
      </c>
      <c r="E130" s="11" t="s">
        <v>19</v>
      </c>
      <c r="F130" s="8" t="s">
        <v>347</v>
      </c>
      <c r="G130" s="8" t="s">
        <v>155</v>
      </c>
      <c r="H130" s="8" t="s">
        <v>265</v>
      </c>
      <c r="I130" s="8" t="s">
        <v>23</v>
      </c>
      <c r="J130" s="8" t="s">
        <v>348</v>
      </c>
      <c r="K130" s="49" t="s">
        <v>349</v>
      </c>
      <c r="L130" s="9"/>
      <c r="M130" s="114" t="s">
        <v>350</v>
      </c>
      <c r="N130" s="6" t="s">
        <v>29</v>
      </c>
      <c r="O130" s="9"/>
      <c r="P130" s="90" t="s">
        <v>351</v>
      </c>
    </row>
    <row r="131" spans="1:16" ht="51.75" customHeight="1" x14ac:dyDescent="0.35">
      <c r="A131" s="18">
        <f t="shared" si="2"/>
        <v>128</v>
      </c>
      <c r="B131" s="18" t="s">
        <v>323</v>
      </c>
      <c r="C131" s="22" t="s">
        <v>352</v>
      </c>
      <c r="D131" s="11" t="s">
        <v>353</v>
      </c>
      <c r="E131" s="11" t="s">
        <v>19</v>
      </c>
      <c r="F131" s="8" t="s">
        <v>347</v>
      </c>
      <c r="G131" s="8" t="s">
        <v>155</v>
      </c>
      <c r="H131" s="8" t="s">
        <v>265</v>
      </c>
      <c r="I131" s="8" t="s">
        <v>23</v>
      </c>
      <c r="J131" s="8" t="s">
        <v>354</v>
      </c>
      <c r="K131" s="49" t="s">
        <v>349</v>
      </c>
      <c r="L131" s="9"/>
      <c r="M131" s="114" t="s">
        <v>355</v>
      </c>
      <c r="N131" s="6" t="s">
        <v>25</v>
      </c>
      <c r="O131" s="9"/>
      <c r="P131" s="90" t="s">
        <v>356</v>
      </c>
    </row>
    <row r="132" spans="1:16" ht="60" customHeight="1" x14ac:dyDescent="0.35">
      <c r="A132" s="18">
        <f t="shared" si="2"/>
        <v>129</v>
      </c>
      <c r="B132" s="18" t="s">
        <v>323</v>
      </c>
      <c r="C132" s="22" t="s">
        <v>357</v>
      </c>
      <c r="D132" s="11" t="s">
        <v>358</v>
      </c>
      <c r="E132" s="11" t="s">
        <v>19</v>
      </c>
      <c r="F132" s="8" t="s">
        <v>347</v>
      </c>
      <c r="G132" s="8" t="s">
        <v>155</v>
      </c>
      <c r="H132" s="8" t="s">
        <v>265</v>
      </c>
      <c r="I132" s="8" t="s">
        <v>23</v>
      </c>
      <c r="J132" s="8" t="s">
        <v>354</v>
      </c>
      <c r="K132" s="49" t="s">
        <v>349</v>
      </c>
      <c r="L132" s="9"/>
      <c r="M132" s="114" t="s">
        <v>359</v>
      </c>
      <c r="N132" s="6" t="s">
        <v>25</v>
      </c>
      <c r="O132" s="9"/>
      <c r="P132" s="90" t="s">
        <v>356</v>
      </c>
    </row>
    <row r="133" spans="1:16" ht="56.25" customHeight="1" x14ac:dyDescent="0.35">
      <c r="A133" s="18">
        <f t="shared" si="2"/>
        <v>130</v>
      </c>
      <c r="B133" s="18" t="s">
        <v>323</v>
      </c>
      <c r="C133" s="22" t="s">
        <v>360</v>
      </c>
      <c r="D133" s="11" t="s">
        <v>361</v>
      </c>
      <c r="E133" s="11" t="s">
        <v>19</v>
      </c>
      <c r="F133" s="8" t="s">
        <v>347</v>
      </c>
      <c r="G133" s="8" t="s">
        <v>155</v>
      </c>
      <c r="H133" s="8" t="s">
        <v>265</v>
      </c>
      <c r="I133" s="8" t="s">
        <v>23</v>
      </c>
      <c r="J133" s="8" t="s">
        <v>338</v>
      </c>
      <c r="K133" s="8" t="s">
        <v>339</v>
      </c>
      <c r="L133" s="9"/>
      <c r="M133" s="114" t="s">
        <v>340</v>
      </c>
      <c r="N133" s="6" t="s">
        <v>29</v>
      </c>
      <c r="O133" s="9"/>
      <c r="P133" s="90" t="s">
        <v>362</v>
      </c>
    </row>
    <row r="134" spans="1:16" ht="14.25" customHeight="1" x14ac:dyDescent="0.35">
      <c r="A134" s="23">
        <f t="shared" si="2"/>
        <v>131</v>
      </c>
      <c r="B134" s="23" t="s">
        <v>323</v>
      </c>
      <c r="C134" s="23" t="s">
        <v>363</v>
      </c>
      <c r="D134" s="23" t="s">
        <v>364</v>
      </c>
      <c r="E134" s="23" t="s">
        <v>19</v>
      </c>
      <c r="F134" s="6" t="s">
        <v>323</v>
      </c>
      <c r="G134" s="6" t="s">
        <v>155</v>
      </c>
      <c r="H134" s="8" t="s">
        <v>265</v>
      </c>
      <c r="I134" s="6" t="s">
        <v>23</v>
      </c>
      <c r="J134" s="6" t="s">
        <v>365</v>
      </c>
      <c r="K134" s="6" t="s">
        <v>366</v>
      </c>
      <c r="L134" s="6"/>
      <c r="M134" s="6"/>
      <c r="N134" s="6" t="s">
        <v>367</v>
      </c>
      <c r="O134" s="6"/>
      <c r="P134" s="6"/>
    </row>
    <row r="135" spans="1:16" ht="14.25" customHeight="1" x14ac:dyDescent="0.35">
      <c r="A135" s="23">
        <f t="shared" si="2"/>
        <v>132</v>
      </c>
      <c r="B135" s="23" t="s">
        <v>323</v>
      </c>
      <c r="C135" s="23" t="s">
        <v>368</v>
      </c>
      <c r="D135" s="23" t="s">
        <v>369</v>
      </c>
      <c r="E135" s="23" t="s">
        <v>19</v>
      </c>
      <c r="F135" s="6" t="s">
        <v>323</v>
      </c>
      <c r="G135" s="6" t="s">
        <v>155</v>
      </c>
      <c r="H135" s="8" t="s">
        <v>265</v>
      </c>
      <c r="I135" s="6" t="s">
        <v>23</v>
      </c>
      <c r="J135" s="6" t="s">
        <v>286</v>
      </c>
      <c r="K135" s="6" t="s">
        <v>370</v>
      </c>
      <c r="L135" s="6"/>
      <c r="M135" s="6"/>
      <c r="N135" s="6" t="s">
        <v>371</v>
      </c>
      <c r="O135" s="6"/>
      <c r="P135" s="6"/>
    </row>
    <row r="136" spans="1:16" ht="14.25" customHeight="1" x14ac:dyDescent="0.35">
      <c r="A136" s="23">
        <f t="shared" si="2"/>
        <v>133</v>
      </c>
      <c r="B136" s="23" t="s">
        <v>323</v>
      </c>
      <c r="C136" s="23" t="s">
        <v>372</v>
      </c>
      <c r="D136" s="23" t="s">
        <v>373</v>
      </c>
      <c r="E136" s="23" t="s">
        <v>19</v>
      </c>
      <c r="F136" s="6" t="s">
        <v>323</v>
      </c>
      <c r="G136" s="6" t="s">
        <v>155</v>
      </c>
      <c r="H136" s="8" t="s">
        <v>265</v>
      </c>
      <c r="I136" s="6" t="s">
        <v>23</v>
      </c>
      <c r="J136" s="6" t="s">
        <v>286</v>
      </c>
      <c r="K136" s="6" t="s">
        <v>239</v>
      </c>
      <c r="L136" s="6"/>
      <c r="M136" s="6"/>
      <c r="N136" s="6" t="s">
        <v>29</v>
      </c>
      <c r="O136" s="6"/>
      <c r="P136" s="6"/>
    </row>
    <row r="137" spans="1:16" ht="14.25" customHeight="1" x14ac:dyDescent="0.35">
      <c r="A137" s="23">
        <f t="shared" si="2"/>
        <v>134</v>
      </c>
      <c r="B137" s="23" t="s">
        <v>323</v>
      </c>
      <c r="C137" s="23" t="s">
        <v>374</v>
      </c>
      <c r="D137" s="23" t="s">
        <v>375</v>
      </c>
      <c r="E137" s="23" t="s">
        <v>19</v>
      </c>
      <c r="F137" s="6" t="s">
        <v>323</v>
      </c>
      <c r="G137" s="6" t="s">
        <v>155</v>
      </c>
      <c r="H137" s="8" t="s">
        <v>265</v>
      </c>
      <c r="I137" s="6" t="s">
        <v>23</v>
      </c>
      <c r="J137" s="48">
        <v>10000</v>
      </c>
      <c r="K137" s="6" t="s">
        <v>376</v>
      </c>
      <c r="L137" s="6"/>
      <c r="M137" s="6"/>
      <c r="N137" s="6" t="s">
        <v>158</v>
      </c>
      <c r="O137" s="6"/>
      <c r="P137" s="6"/>
    </row>
    <row r="138" spans="1:16" ht="14.25" customHeight="1" x14ac:dyDescent="0.35">
      <c r="A138" s="78">
        <f t="shared" si="2"/>
        <v>135</v>
      </c>
      <c r="B138" s="78" t="s">
        <v>323</v>
      </c>
      <c r="C138" s="79" t="s">
        <v>584</v>
      </c>
      <c r="D138" s="80" t="s">
        <v>585</v>
      </c>
      <c r="E138" s="5" t="s">
        <v>19</v>
      </c>
      <c r="F138" s="81" t="s">
        <v>323</v>
      </c>
      <c r="G138" s="82" t="s">
        <v>155</v>
      </c>
      <c r="H138" s="27" t="s">
        <v>265</v>
      </c>
      <c r="I138" s="27" t="s">
        <v>23</v>
      </c>
      <c r="J138" s="91" t="s">
        <v>672</v>
      </c>
      <c r="K138" s="92" t="s">
        <v>673</v>
      </c>
      <c r="L138" s="92" t="s">
        <v>673</v>
      </c>
      <c r="M138" s="92" t="s">
        <v>674</v>
      </c>
      <c r="N138" s="93" t="s">
        <v>158</v>
      </c>
      <c r="O138" s="92"/>
      <c r="P138" s="92" t="s">
        <v>675</v>
      </c>
    </row>
    <row r="139" spans="1:16" ht="14.25" customHeight="1" x14ac:dyDescent="0.35">
      <c r="A139" s="113">
        <f>ROW()-3</f>
        <v>136</v>
      </c>
      <c r="B139" s="94" t="s">
        <v>323</v>
      </c>
      <c r="C139" s="95" t="s">
        <v>676</v>
      </c>
      <c r="D139" s="96" t="s">
        <v>677</v>
      </c>
      <c r="E139" s="97" t="s">
        <v>19</v>
      </c>
      <c r="F139" s="98" t="s">
        <v>323</v>
      </c>
      <c r="G139" s="99" t="s">
        <v>155</v>
      </c>
      <c r="H139" s="99" t="s">
        <v>265</v>
      </c>
      <c r="I139" s="99" t="s">
        <v>23</v>
      </c>
      <c r="J139" s="100" t="s">
        <v>286</v>
      </c>
      <c r="K139" s="99" t="s">
        <v>678</v>
      </c>
      <c r="L139" s="99" t="s">
        <v>678</v>
      </c>
      <c r="M139" s="99"/>
      <c r="N139" s="101" t="s">
        <v>29</v>
      </c>
      <c r="O139" s="99"/>
      <c r="P139" s="99" t="s">
        <v>675</v>
      </c>
    </row>
    <row r="140" spans="1:16" ht="14.25" customHeight="1" x14ac:dyDescent="0.35">
      <c r="A140" s="78">
        <f t="shared" si="2"/>
        <v>137</v>
      </c>
      <c r="B140" s="78" t="s">
        <v>377</v>
      </c>
      <c r="C140" s="79" t="s">
        <v>586</v>
      </c>
      <c r="D140" s="80" t="s">
        <v>587</v>
      </c>
      <c r="E140" s="5" t="s">
        <v>19</v>
      </c>
      <c r="F140" s="81" t="s">
        <v>658</v>
      </c>
      <c r="G140" s="82" t="s">
        <v>659</v>
      </c>
      <c r="H140" s="82" t="s">
        <v>655</v>
      </c>
      <c r="I140" s="82" t="s">
        <v>23</v>
      </c>
      <c r="J140" s="83" t="s">
        <v>668</v>
      </c>
      <c r="K140" s="82" t="s">
        <v>662</v>
      </c>
      <c r="L140" s="82">
        <v>0</v>
      </c>
      <c r="M140" s="82" t="s">
        <v>661</v>
      </c>
      <c r="N140" s="84" t="s">
        <v>29</v>
      </c>
      <c r="O140" s="82" t="s">
        <v>286</v>
      </c>
      <c r="P140" s="85" t="s">
        <v>660</v>
      </c>
    </row>
    <row r="141" spans="1:16" ht="14" customHeight="1" x14ac:dyDescent="0.35">
      <c r="A141" s="78">
        <f t="shared" si="2"/>
        <v>138</v>
      </c>
      <c r="B141" s="78" t="s">
        <v>377</v>
      </c>
      <c r="C141" s="79" t="s">
        <v>588</v>
      </c>
      <c r="D141" s="80" t="s">
        <v>589</v>
      </c>
      <c r="E141" s="5" t="s">
        <v>19</v>
      </c>
      <c r="F141" s="81" t="s">
        <v>377</v>
      </c>
      <c r="G141" s="82" t="s">
        <v>663</v>
      </c>
      <c r="H141" s="82" t="s">
        <v>655</v>
      </c>
      <c r="I141" s="82" t="s">
        <v>664</v>
      </c>
      <c r="J141" s="82" t="s">
        <v>665</v>
      </c>
      <c r="K141" s="82" t="s">
        <v>665</v>
      </c>
      <c r="L141" s="82">
        <v>20</v>
      </c>
      <c r="M141" s="82" t="s">
        <v>666</v>
      </c>
      <c r="N141" s="84" t="s">
        <v>29</v>
      </c>
      <c r="O141" s="82" t="s">
        <v>286</v>
      </c>
      <c r="P141" s="82" t="s">
        <v>667</v>
      </c>
    </row>
    <row r="142" spans="1:16" ht="321.75" customHeight="1" x14ac:dyDescent="0.35">
      <c r="A142" s="18">
        <f t="shared" si="2"/>
        <v>139</v>
      </c>
      <c r="B142" s="18" t="s">
        <v>377</v>
      </c>
      <c r="C142" s="18" t="s">
        <v>378</v>
      </c>
      <c r="D142" s="11" t="s">
        <v>379</v>
      </c>
      <c r="E142" s="11" t="s">
        <v>19</v>
      </c>
      <c r="F142" s="8" t="s">
        <v>651</v>
      </c>
      <c r="G142" s="82" t="s">
        <v>652</v>
      </c>
      <c r="H142" s="8" t="s">
        <v>655</v>
      </c>
      <c r="I142" s="8" t="s">
        <v>653</v>
      </c>
      <c r="J142" s="86">
        <v>60000</v>
      </c>
      <c r="K142" s="8" t="s">
        <v>656</v>
      </c>
      <c r="L142" s="87" t="s">
        <v>669</v>
      </c>
      <c r="M142" s="88" t="s">
        <v>670</v>
      </c>
      <c r="N142" s="89" t="s">
        <v>657</v>
      </c>
      <c r="O142" s="8" t="s">
        <v>671</v>
      </c>
      <c r="P142" s="90" t="s">
        <v>654</v>
      </c>
    </row>
    <row r="143" spans="1:16" ht="55.5" customHeight="1" x14ac:dyDescent="0.35">
      <c r="A143" s="18">
        <f t="shared" si="2"/>
        <v>140</v>
      </c>
      <c r="B143" s="18" t="s">
        <v>380</v>
      </c>
      <c r="C143" s="18" t="s">
        <v>381</v>
      </c>
      <c r="D143" s="11" t="s">
        <v>382</v>
      </c>
      <c r="E143" s="11" t="s">
        <v>19</v>
      </c>
      <c r="F143" s="9"/>
      <c r="G143" s="9"/>
      <c r="H143" s="6" t="s">
        <v>65</v>
      </c>
      <c r="I143" s="6" t="s">
        <v>70</v>
      </c>
      <c r="J143" s="9"/>
      <c r="K143" s="9"/>
      <c r="L143" s="9"/>
      <c r="M143" s="7"/>
      <c r="N143" s="6" t="s">
        <v>29</v>
      </c>
      <c r="O143" s="9"/>
      <c r="P143" s="32"/>
    </row>
    <row r="144" spans="1:16" ht="42" customHeight="1" x14ac:dyDescent="0.35">
      <c r="A144" s="18">
        <f t="shared" si="2"/>
        <v>141</v>
      </c>
      <c r="B144" s="18" t="s">
        <v>380</v>
      </c>
      <c r="C144" s="18" t="s">
        <v>383</v>
      </c>
      <c r="D144" s="11" t="s">
        <v>384</v>
      </c>
      <c r="E144" s="11" t="s">
        <v>19</v>
      </c>
      <c r="F144" s="9"/>
      <c r="G144" s="9"/>
      <c r="H144" s="6" t="s">
        <v>22</v>
      </c>
      <c r="I144" s="6" t="s">
        <v>70</v>
      </c>
      <c r="J144" s="9"/>
      <c r="K144" s="9"/>
      <c r="L144" s="9"/>
      <c r="M144" s="7"/>
      <c r="N144" s="6" t="s">
        <v>29</v>
      </c>
      <c r="O144" s="9"/>
      <c r="P144" s="32"/>
    </row>
    <row r="145" spans="1:16" ht="55.5" customHeight="1" x14ac:dyDescent="0.35">
      <c r="A145" s="18">
        <f t="shared" si="2"/>
        <v>142</v>
      </c>
      <c r="B145" s="18" t="s">
        <v>380</v>
      </c>
      <c r="C145" s="18" t="s">
        <v>385</v>
      </c>
      <c r="D145" s="11" t="s">
        <v>386</v>
      </c>
      <c r="E145" s="11" t="s">
        <v>19</v>
      </c>
      <c r="F145" s="9"/>
      <c r="G145" s="9"/>
      <c r="H145" s="6" t="s">
        <v>65</v>
      </c>
      <c r="I145" s="6" t="s">
        <v>70</v>
      </c>
      <c r="J145" s="9"/>
      <c r="K145" s="9"/>
      <c r="L145" s="9"/>
      <c r="M145" s="7"/>
      <c r="N145" s="6" t="s">
        <v>29</v>
      </c>
      <c r="O145" s="9"/>
      <c r="P145" s="32"/>
    </row>
    <row r="146" spans="1:16" ht="55.5" customHeight="1" x14ac:dyDescent="0.35">
      <c r="A146" s="18">
        <f t="shared" si="2"/>
        <v>143</v>
      </c>
      <c r="B146" s="18" t="s">
        <v>380</v>
      </c>
      <c r="C146" s="18" t="s">
        <v>387</v>
      </c>
      <c r="D146" s="11" t="s">
        <v>388</v>
      </c>
      <c r="E146" s="11" t="s">
        <v>19</v>
      </c>
      <c r="F146" s="9"/>
      <c r="G146" s="9"/>
      <c r="H146" s="6" t="s">
        <v>65</v>
      </c>
      <c r="I146" s="6" t="s">
        <v>70</v>
      </c>
      <c r="J146" s="9"/>
      <c r="K146" s="9"/>
      <c r="L146" s="9"/>
      <c r="M146" s="7"/>
      <c r="N146" s="6" t="s">
        <v>29</v>
      </c>
      <c r="O146" s="9"/>
      <c r="P146" s="32"/>
    </row>
    <row r="147" spans="1:16" ht="42" customHeight="1" x14ac:dyDescent="0.35">
      <c r="A147" s="18">
        <f t="shared" si="2"/>
        <v>144</v>
      </c>
      <c r="B147" s="18" t="s">
        <v>380</v>
      </c>
      <c r="C147" s="18" t="s">
        <v>389</v>
      </c>
      <c r="D147" s="11" t="s">
        <v>390</v>
      </c>
      <c r="E147" s="11" t="s">
        <v>19</v>
      </c>
      <c r="F147" s="50" t="s">
        <v>391</v>
      </c>
      <c r="G147" s="50" t="s">
        <v>392</v>
      </c>
      <c r="H147" s="6" t="s">
        <v>65</v>
      </c>
      <c r="I147" s="6" t="s">
        <v>70</v>
      </c>
      <c r="J147" s="9"/>
      <c r="K147" s="9"/>
      <c r="L147" s="9"/>
      <c r="M147" s="7"/>
      <c r="N147" s="6" t="s">
        <v>29</v>
      </c>
      <c r="O147" s="9"/>
      <c r="P147" s="32"/>
    </row>
    <row r="148" spans="1:16" ht="42" customHeight="1" x14ac:dyDescent="0.35">
      <c r="A148" s="18">
        <f t="shared" si="2"/>
        <v>145</v>
      </c>
      <c r="B148" s="18" t="s">
        <v>380</v>
      </c>
      <c r="C148" s="18" t="s">
        <v>393</v>
      </c>
      <c r="D148" s="11" t="s">
        <v>394</v>
      </c>
      <c r="E148" s="11" t="s">
        <v>19</v>
      </c>
      <c r="F148" s="50" t="s">
        <v>391</v>
      </c>
      <c r="G148" s="50" t="s">
        <v>392</v>
      </c>
      <c r="H148" s="6" t="s">
        <v>65</v>
      </c>
      <c r="I148" s="6" t="s">
        <v>70</v>
      </c>
      <c r="J148" s="9"/>
      <c r="K148" s="9"/>
      <c r="L148" s="9"/>
      <c r="M148" s="7"/>
      <c r="N148" s="6" t="s">
        <v>29</v>
      </c>
      <c r="O148" s="9"/>
      <c r="P148" s="32"/>
    </row>
    <row r="149" spans="1:16" ht="69.75" customHeight="1" x14ac:dyDescent="0.35">
      <c r="A149" s="18">
        <f t="shared" si="2"/>
        <v>146</v>
      </c>
      <c r="B149" s="18" t="s">
        <v>380</v>
      </c>
      <c r="C149" s="18" t="s">
        <v>395</v>
      </c>
      <c r="D149" s="11" t="s">
        <v>396</v>
      </c>
      <c r="E149" s="11" t="s">
        <v>19</v>
      </c>
      <c r="F149" s="50" t="s">
        <v>391</v>
      </c>
      <c r="G149" s="50" t="s">
        <v>397</v>
      </c>
      <c r="H149" s="6" t="s">
        <v>65</v>
      </c>
      <c r="I149" s="6" t="s">
        <v>23</v>
      </c>
      <c r="J149" s="9"/>
      <c r="K149" s="9"/>
      <c r="L149" s="8" t="s">
        <v>398</v>
      </c>
      <c r="M149" s="7"/>
      <c r="N149" s="6" t="s">
        <v>29</v>
      </c>
      <c r="O149" s="9"/>
      <c r="P149" s="32"/>
    </row>
    <row r="150" spans="1:16" ht="55.5" customHeight="1" x14ac:dyDescent="0.35">
      <c r="A150" s="18">
        <f t="shared" si="2"/>
        <v>147</v>
      </c>
      <c r="B150" s="18" t="s">
        <v>380</v>
      </c>
      <c r="C150" s="18" t="s">
        <v>399</v>
      </c>
      <c r="D150" s="11" t="s">
        <v>400</v>
      </c>
      <c r="E150" s="11" t="s">
        <v>19</v>
      </c>
      <c r="F150" s="50" t="s">
        <v>391</v>
      </c>
      <c r="G150" s="50" t="s">
        <v>397</v>
      </c>
      <c r="H150" s="6" t="s">
        <v>65</v>
      </c>
      <c r="I150" s="6" t="s">
        <v>23</v>
      </c>
      <c r="J150" s="9"/>
      <c r="K150" s="9"/>
      <c r="L150" s="8" t="s">
        <v>398</v>
      </c>
      <c r="M150" s="7"/>
      <c r="N150" s="6" t="s">
        <v>29</v>
      </c>
      <c r="O150" s="9"/>
      <c r="P150" s="32"/>
    </row>
    <row r="151" spans="1:16" ht="27.75" customHeight="1" x14ac:dyDescent="0.35">
      <c r="A151" s="18">
        <f t="shared" si="2"/>
        <v>148</v>
      </c>
      <c r="B151" s="18" t="s">
        <v>380</v>
      </c>
      <c r="C151" s="18" t="s">
        <v>401</v>
      </c>
      <c r="D151" s="11" t="s">
        <v>402</v>
      </c>
      <c r="E151" s="11" t="s">
        <v>19</v>
      </c>
      <c r="F151" s="50" t="s">
        <v>391</v>
      </c>
      <c r="G151" s="50" t="s">
        <v>392</v>
      </c>
      <c r="H151" s="6" t="s">
        <v>65</v>
      </c>
      <c r="I151" s="6" t="s">
        <v>70</v>
      </c>
      <c r="J151" s="9"/>
      <c r="K151" s="9"/>
      <c r="L151" s="9"/>
      <c r="M151" s="7"/>
      <c r="N151" s="6" t="s">
        <v>29</v>
      </c>
      <c r="O151" s="9"/>
      <c r="P151" s="32"/>
    </row>
    <row r="152" spans="1:16" ht="42" customHeight="1" x14ac:dyDescent="0.35">
      <c r="A152" s="18">
        <f t="shared" si="2"/>
        <v>149</v>
      </c>
      <c r="B152" s="18" t="s">
        <v>380</v>
      </c>
      <c r="C152" s="18" t="s">
        <v>403</v>
      </c>
      <c r="D152" s="11" t="s">
        <v>404</v>
      </c>
      <c r="E152" s="11" t="s">
        <v>19</v>
      </c>
      <c r="F152" s="50" t="s">
        <v>391</v>
      </c>
      <c r="G152" s="50" t="s">
        <v>392</v>
      </c>
      <c r="H152" s="6" t="s">
        <v>65</v>
      </c>
      <c r="I152" s="6" t="s">
        <v>70</v>
      </c>
      <c r="J152" s="9"/>
      <c r="K152" s="9"/>
      <c r="L152" s="9"/>
      <c r="M152" s="7"/>
      <c r="N152" s="6" t="s">
        <v>29</v>
      </c>
      <c r="O152" s="9"/>
      <c r="P152" s="32"/>
    </row>
    <row r="153" spans="1:16" ht="42" customHeight="1" x14ac:dyDescent="0.35">
      <c r="A153" s="18">
        <f t="shared" si="2"/>
        <v>150</v>
      </c>
      <c r="B153" s="18" t="s">
        <v>380</v>
      </c>
      <c r="C153" s="18" t="s">
        <v>405</v>
      </c>
      <c r="D153" s="11" t="s">
        <v>406</v>
      </c>
      <c r="E153" s="11" t="s">
        <v>19</v>
      </c>
      <c r="F153" s="50" t="s">
        <v>391</v>
      </c>
      <c r="G153" s="50" t="s">
        <v>392</v>
      </c>
      <c r="H153" s="6" t="s">
        <v>65</v>
      </c>
      <c r="I153" s="6" t="s">
        <v>70</v>
      </c>
      <c r="J153" s="9"/>
      <c r="K153" s="9"/>
      <c r="L153" s="9"/>
      <c r="M153" s="7"/>
      <c r="N153" s="6" t="s">
        <v>29</v>
      </c>
      <c r="O153" s="9"/>
      <c r="P153" s="32"/>
    </row>
    <row r="154" spans="1:16" ht="55.5" customHeight="1" x14ac:dyDescent="0.35">
      <c r="A154" s="18">
        <f t="shared" si="2"/>
        <v>151</v>
      </c>
      <c r="B154" s="18" t="s">
        <v>380</v>
      </c>
      <c r="C154" s="18" t="s">
        <v>407</v>
      </c>
      <c r="D154" s="11" t="s">
        <v>408</v>
      </c>
      <c r="E154" s="11" t="s">
        <v>19</v>
      </c>
      <c r="F154" s="50" t="s">
        <v>391</v>
      </c>
      <c r="G154" s="50" t="s">
        <v>392</v>
      </c>
      <c r="H154" s="6" t="s">
        <v>65</v>
      </c>
      <c r="I154" s="6" t="s">
        <v>70</v>
      </c>
      <c r="J154" s="9"/>
      <c r="K154" s="9"/>
      <c r="L154" s="9"/>
      <c r="M154" s="7"/>
      <c r="N154" s="6" t="s">
        <v>29</v>
      </c>
      <c r="O154" s="9"/>
      <c r="P154" s="32"/>
    </row>
    <row r="155" spans="1:16" ht="69.75" customHeight="1" x14ac:dyDescent="0.35">
      <c r="A155" s="18">
        <f t="shared" si="2"/>
        <v>152</v>
      </c>
      <c r="B155" s="18" t="s">
        <v>380</v>
      </c>
      <c r="C155" s="18" t="s">
        <v>409</v>
      </c>
      <c r="D155" s="11" t="s">
        <v>410</v>
      </c>
      <c r="E155" s="11" t="s">
        <v>19</v>
      </c>
      <c r="F155" s="50" t="s">
        <v>391</v>
      </c>
      <c r="G155" s="50" t="s">
        <v>411</v>
      </c>
      <c r="H155" s="6" t="s">
        <v>65</v>
      </c>
      <c r="I155" s="6" t="s">
        <v>70</v>
      </c>
      <c r="J155" s="9"/>
      <c r="K155" s="9"/>
      <c r="L155" s="9"/>
      <c r="M155" s="7"/>
      <c r="N155" s="6" t="s">
        <v>29</v>
      </c>
      <c r="O155" s="9"/>
      <c r="P155" s="32"/>
    </row>
    <row r="156" spans="1:16" ht="84" customHeight="1" x14ac:dyDescent="0.35">
      <c r="A156" s="18">
        <f t="shared" si="2"/>
        <v>153</v>
      </c>
      <c r="B156" s="18" t="s">
        <v>380</v>
      </c>
      <c r="C156" s="18" t="s">
        <v>412</v>
      </c>
      <c r="D156" s="11" t="s">
        <v>413</v>
      </c>
      <c r="E156" s="11" t="s">
        <v>19</v>
      </c>
      <c r="F156" s="50" t="s">
        <v>391</v>
      </c>
      <c r="G156" s="50" t="s">
        <v>411</v>
      </c>
      <c r="H156" s="6" t="s">
        <v>65</v>
      </c>
      <c r="I156" s="6" t="s">
        <v>310</v>
      </c>
      <c r="J156" s="9"/>
      <c r="K156" s="9"/>
      <c r="L156" s="9"/>
      <c r="M156" s="7"/>
      <c r="N156" s="6" t="s">
        <v>29</v>
      </c>
      <c r="O156" s="9"/>
      <c r="P156" s="32"/>
    </row>
    <row r="157" spans="1:16" ht="69.75" customHeight="1" x14ac:dyDescent="0.35">
      <c r="A157" s="18">
        <f t="shared" si="2"/>
        <v>154</v>
      </c>
      <c r="B157" s="18" t="s">
        <v>380</v>
      </c>
      <c r="C157" s="18" t="s">
        <v>414</v>
      </c>
      <c r="D157" s="11" t="s">
        <v>415</v>
      </c>
      <c r="E157" s="11" t="s">
        <v>19</v>
      </c>
      <c r="F157" s="50" t="s">
        <v>391</v>
      </c>
      <c r="G157" s="50" t="s">
        <v>397</v>
      </c>
      <c r="H157" s="6" t="s">
        <v>65</v>
      </c>
      <c r="I157" s="6" t="s">
        <v>23</v>
      </c>
      <c r="J157" s="9"/>
      <c r="K157" s="9"/>
      <c r="L157" s="9"/>
      <c r="M157" s="7"/>
      <c r="N157" s="6" t="s">
        <v>25</v>
      </c>
      <c r="O157" s="9"/>
      <c r="P157" s="32"/>
    </row>
    <row r="158" spans="1:16" ht="42" customHeight="1" x14ac:dyDescent="0.35">
      <c r="A158" s="18">
        <f t="shared" si="2"/>
        <v>155</v>
      </c>
      <c r="B158" s="18" t="s">
        <v>380</v>
      </c>
      <c r="C158" s="18" t="s">
        <v>416</v>
      </c>
      <c r="D158" s="11" t="s">
        <v>417</v>
      </c>
      <c r="E158" s="11" t="s">
        <v>19</v>
      </c>
      <c r="F158" s="50" t="s">
        <v>391</v>
      </c>
      <c r="G158" s="50" t="s">
        <v>418</v>
      </c>
      <c r="H158" s="6" t="s">
        <v>65</v>
      </c>
      <c r="I158" s="6" t="s">
        <v>70</v>
      </c>
      <c r="J158" s="9"/>
      <c r="K158" s="9"/>
      <c r="L158" s="9"/>
      <c r="M158" s="7"/>
      <c r="N158" s="6" t="s">
        <v>29</v>
      </c>
      <c r="O158" s="9"/>
      <c r="P158" s="32"/>
    </row>
    <row r="159" spans="1:16" ht="27.75" customHeight="1" x14ac:dyDescent="0.35">
      <c r="A159" s="18">
        <f t="shared" si="2"/>
        <v>156</v>
      </c>
      <c r="B159" s="18" t="s">
        <v>380</v>
      </c>
      <c r="C159" s="18" t="s">
        <v>419</v>
      </c>
      <c r="D159" s="11" t="s">
        <v>420</v>
      </c>
      <c r="E159" s="11" t="s">
        <v>19</v>
      </c>
      <c r="F159" s="50" t="s">
        <v>391</v>
      </c>
      <c r="G159" s="50" t="s">
        <v>421</v>
      </c>
      <c r="H159" s="6" t="s">
        <v>65</v>
      </c>
      <c r="I159" s="6" t="s">
        <v>70</v>
      </c>
      <c r="J159" s="9"/>
      <c r="K159" s="9"/>
      <c r="L159" s="9"/>
      <c r="M159" s="7"/>
      <c r="N159" s="6" t="s">
        <v>29</v>
      </c>
      <c r="O159" s="9"/>
      <c r="P159" s="32"/>
    </row>
    <row r="160" spans="1:16" ht="42" customHeight="1" x14ac:dyDescent="0.35">
      <c r="A160" s="18">
        <f t="shared" si="2"/>
        <v>157</v>
      </c>
      <c r="B160" s="18" t="s">
        <v>380</v>
      </c>
      <c r="C160" s="18" t="s">
        <v>422</v>
      </c>
      <c r="D160" s="11" t="s">
        <v>423</v>
      </c>
      <c r="E160" s="11" t="s">
        <v>19</v>
      </c>
      <c r="F160" s="50" t="s">
        <v>391</v>
      </c>
      <c r="G160" s="50" t="s">
        <v>392</v>
      </c>
      <c r="H160" s="6" t="s">
        <v>65</v>
      </c>
      <c r="I160" s="6" t="s">
        <v>310</v>
      </c>
      <c r="J160" s="9"/>
      <c r="K160" s="9"/>
      <c r="L160" s="9"/>
      <c r="M160" s="7"/>
      <c r="N160" s="6" t="s">
        <v>29</v>
      </c>
      <c r="O160" s="9"/>
      <c r="P160" s="32"/>
    </row>
    <row r="161" spans="1:16" ht="42" customHeight="1" x14ac:dyDescent="0.35">
      <c r="A161" s="18">
        <f t="shared" si="2"/>
        <v>158</v>
      </c>
      <c r="B161" s="18" t="s">
        <v>380</v>
      </c>
      <c r="C161" s="18" t="s">
        <v>424</v>
      </c>
      <c r="D161" s="11" t="s">
        <v>425</v>
      </c>
      <c r="E161" s="11" t="s">
        <v>19</v>
      </c>
      <c r="F161" s="50" t="s">
        <v>391</v>
      </c>
      <c r="G161" s="50" t="s">
        <v>392</v>
      </c>
      <c r="H161" s="6" t="s">
        <v>65</v>
      </c>
      <c r="I161" s="6" t="s">
        <v>70</v>
      </c>
      <c r="J161" s="9"/>
      <c r="K161" s="9"/>
      <c r="L161" s="9"/>
      <c r="M161" s="7"/>
      <c r="N161" s="6" t="s">
        <v>29</v>
      </c>
      <c r="O161" s="9"/>
      <c r="P161" s="32"/>
    </row>
    <row r="162" spans="1:16" ht="42" customHeight="1" x14ac:dyDescent="0.35">
      <c r="A162" s="18">
        <f t="shared" si="2"/>
        <v>159</v>
      </c>
      <c r="B162" s="18" t="s">
        <v>380</v>
      </c>
      <c r="C162" s="18" t="s">
        <v>426</v>
      </c>
      <c r="D162" s="11" t="s">
        <v>427</v>
      </c>
      <c r="E162" s="11" t="s">
        <v>19</v>
      </c>
      <c r="F162" s="50" t="s">
        <v>391</v>
      </c>
      <c r="G162" s="50" t="s">
        <v>397</v>
      </c>
      <c r="H162" s="6" t="s">
        <v>65</v>
      </c>
      <c r="I162" s="6" t="s">
        <v>23</v>
      </c>
      <c r="J162" s="9"/>
      <c r="K162" s="9"/>
      <c r="L162" s="8" t="s">
        <v>398</v>
      </c>
      <c r="M162" s="7"/>
      <c r="N162" s="6" t="s">
        <v>29</v>
      </c>
      <c r="O162" s="9"/>
      <c r="P162" s="32"/>
    </row>
    <row r="163" spans="1:16" ht="42" customHeight="1" x14ac:dyDescent="0.35">
      <c r="A163" s="18">
        <f t="shared" si="2"/>
        <v>160</v>
      </c>
      <c r="B163" s="18" t="s">
        <v>380</v>
      </c>
      <c r="C163" s="18" t="s">
        <v>428</v>
      </c>
      <c r="D163" s="11" t="s">
        <v>429</v>
      </c>
      <c r="E163" s="11" t="s">
        <v>19</v>
      </c>
      <c r="F163" s="50" t="s">
        <v>391</v>
      </c>
      <c r="G163" s="50" t="s">
        <v>392</v>
      </c>
      <c r="H163" s="6" t="s">
        <v>65</v>
      </c>
      <c r="I163" s="6" t="s">
        <v>70</v>
      </c>
      <c r="J163" s="9"/>
      <c r="K163" s="9"/>
      <c r="L163" s="9"/>
      <c r="M163" s="7"/>
      <c r="N163" s="6" t="s">
        <v>29</v>
      </c>
      <c r="O163" s="9"/>
      <c r="P163" s="32"/>
    </row>
    <row r="164" spans="1:16" ht="27.75" customHeight="1" x14ac:dyDescent="0.35">
      <c r="A164" s="18">
        <f t="shared" si="2"/>
        <v>161</v>
      </c>
      <c r="B164" s="18" t="s">
        <v>380</v>
      </c>
      <c r="C164" s="18" t="s">
        <v>430</v>
      </c>
      <c r="D164" s="11" t="s">
        <v>431</v>
      </c>
      <c r="E164" s="11" t="s">
        <v>19</v>
      </c>
      <c r="F164" s="50" t="s">
        <v>391</v>
      </c>
      <c r="G164" s="50" t="s">
        <v>432</v>
      </c>
      <c r="H164" s="6" t="s">
        <v>65</v>
      </c>
      <c r="I164" s="6" t="s">
        <v>70</v>
      </c>
      <c r="J164" s="9"/>
      <c r="K164" s="9"/>
      <c r="L164" s="9"/>
      <c r="M164" s="7"/>
      <c r="N164" s="6" t="s">
        <v>29</v>
      </c>
      <c r="O164" s="9"/>
      <c r="P164" s="32"/>
    </row>
    <row r="165" spans="1:16" ht="42" customHeight="1" x14ac:dyDescent="0.35">
      <c r="A165" s="18">
        <f t="shared" si="2"/>
        <v>162</v>
      </c>
      <c r="B165" s="18" t="s">
        <v>380</v>
      </c>
      <c r="C165" s="18" t="s">
        <v>433</v>
      </c>
      <c r="D165" s="11" t="s">
        <v>434</v>
      </c>
      <c r="E165" s="11" t="s">
        <v>19</v>
      </c>
      <c r="F165" s="50" t="s">
        <v>391</v>
      </c>
      <c r="G165" s="50" t="s">
        <v>392</v>
      </c>
      <c r="H165" s="6" t="s">
        <v>65</v>
      </c>
      <c r="I165" s="6" t="s">
        <v>70</v>
      </c>
      <c r="J165" s="9"/>
      <c r="K165" s="9"/>
      <c r="L165" s="9"/>
      <c r="M165" s="7"/>
      <c r="N165" s="6" t="s">
        <v>29</v>
      </c>
      <c r="O165" s="9"/>
      <c r="P165" s="32"/>
    </row>
    <row r="166" spans="1:16" ht="42" customHeight="1" x14ac:dyDescent="0.35">
      <c r="A166" s="18">
        <f t="shared" si="2"/>
        <v>163</v>
      </c>
      <c r="B166" s="18" t="s">
        <v>380</v>
      </c>
      <c r="C166" s="18" t="s">
        <v>435</v>
      </c>
      <c r="D166" s="11" t="s">
        <v>436</v>
      </c>
      <c r="E166" s="11" t="s">
        <v>19</v>
      </c>
      <c r="F166" s="50" t="s">
        <v>391</v>
      </c>
      <c r="G166" s="50" t="s">
        <v>392</v>
      </c>
      <c r="H166" s="6" t="s">
        <v>65</v>
      </c>
      <c r="I166" s="6" t="s">
        <v>70</v>
      </c>
      <c r="J166" s="9"/>
      <c r="K166" s="9"/>
      <c r="L166" s="9"/>
      <c r="M166" s="7"/>
      <c r="N166" s="6" t="s">
        <v>29</v>
      </c>
      <c r="O166" s="9"/>
      <c r="P166" s="32"/>
    </row>
    <row r="167" spans="1:16" ht="42" customHeight="1" x14ac:dyDescent="0.35">
      <c r="A167" s="18">
        <f t="shared" si="2"/>
        <v>164</v>
      </c>
      <c r="B167" s="18" t="s">
        <v>380</v>
      </c>
      <c r="C167" s="18" t="s">
        <v>437</v>
      </c>
      <c r="D167" s="11" t="s">
        <v>438</v>
      </c>
      <c r="E167" s="11" t="s">
        <v>19</v>
      </c>
      <c r="F167" s="50" t="s">
        <v>391</v>
      </c>
      <c r="G167" s="50" t="s">
        <v>439</v>
      </c>
      <c r="H167" s="6" t="s">
        <v>65</v>
      </c>
      <c r="I167" s="6" t="s">
        <v>23</v>
      </c>
      <c r="J167" s="9"/>
      <c r="K167" s="9"/>
      <c r="L167" s="8" t="s">
        <v>440</v>
      </c>
      <c r="M167" s="7"/>
      <c r="N167" s="6" t="s">
        <v>29</v>
      </c>
      <c r="O167" s="9"/>
      <c r="P167" s="32"/>
    </row>
    <row r="168" spans="1:16" ht="42" customHeight="1" x14ac:dyDescent="0.35">
      <c r="A168" s="18">
        <f t="shared" si="2"/>
        <v>165</v>
      </c>
      <c r="B168" s="18" t="s">
        <v>380</v>
      </c>
      <c r="C168" s="18" t="s">
        <v>441</v>
      </c>
      <c r="D168" s="11" t="s">
        <v>442</v>
      </c>
      <c r="E168" s="11" t="s">
        <v>19</v>
      </c>
      <c r="F168" s="50" t="s">
        <v>391</v>
      </c>
      <c r="G168" s="50" t="s">
        <v>392</v>
      </c>
      <c r="H168" s="6" t="s">
        <v>65</v>
      </c>
      <c r="I168" s="6" t="s">
        <v>22</v>
      </c>
      <c r="J168" s="9"/>
      <c r="K168" s="9"/>
      <c r="L168" s="9"/>
      <c r="M168" s="7"/>
      <c r="N168" s="6" t="s">
        <v>25</v>
      </c>
      <c r="O168" s="9"/>
      <c r="P168" s="32"/>
    </row>
    <row r="169" spans="1:16" ht="55.5" customHeight="1" x14ac:dyDescent="0.35">
      <c r="A169" s="18">
        <f t="shared" si="2"/>
        <v>166</v>
      </c>
      <c r="B169" s="18" t="s">
        <v>380</v>
      </c>
      <c r="C169" s="18" t="s">
        <v>443</v>
      </c>
      <c r="D169" s="11" t="s">
        <v>444</v>
      </c>
      <c r="E169" s="11" t="s">
        <v>19</v>
      </c>
      <c r="F169" s="50" t="s">
        <v>391</v>
      </c>
      <c r="G169" s="50" t="s">
        <v>392</v>
      </c>
      <c r="H169" s="6" t="s">
        <v>65</v>
      </c>
      <c r="I169" s="6" t="s">
        <v>22</v>
      </c>
      <c r="J169" s="9"/>
      <c r="K169" s="9"/>
      <c r="L169" s="9"/>
      <c r="M169" s="7"/>
      <c r="N169" s="6" t="s">
        <v>25</v>
      </c>
      <c r="O169" s="9"/>
      <c r="P169" s="32"/>
    </row>
    <row r="170" spans="1:16" ht="97.5" customHeight="1" x14ac:dyDescent="0.35">
      <c r="A170" s="18">
        <f t="shared" si="2"/>
        <v>167</v>
      </c>
      <c r="B170" s="18" t="s">
        <v>380</v>
      </c>
      <c r="C170" s="18" t="s">
        <v>445</v>
      </c>
      <c r="D170" s="11" t="s">
        <v>446</v>
      </c>
      <c r="E170" s="11" t="s">
        <v>19</v>
      </c>
      <c r="F170" s="9"/>
      <c r="G170" s="9"/>
      <c r="H170" s="9"/>
      <c r="I170" s="9"/>
      <c r="J170" s="9"/>
      <c r="K170" s="9"/>
      <c r="L170" s="9"/>
      <c r="M170" s="7"/>
      <c r="N170" s="6" t="s">
        <v>25</v>
      </c>
      <c r="O170" s="9"/>
      <c r="P170" s="32"/>
    </row>
    <row r="171" spans="1:16" ht="57.75" customHeight="1" x14ac:dyDescent="0.35">
      <c r="A171" s="18">
        <f t="shared" si="2"/>
        <v>168</v>
      </c>
      <c r="B171" s="18" t="s">
        <v>380</v>
      </c>
      <c r="C171" s="18" t="s">
        <v>447</v>
      </c>
      <c r="D171" s="11" t="s">
        <v>448</v>
      </c>
      <c r="E171" s="11" t="s">
        <v>19</v>
      </c>
      <c r="F171" s="9"/>
      <c r="G171" s="9"/>
      <c r="H171" s="9"/>
      <c r="I171" s="9"/>
      <c r="J171" s="9"/>
      <c r="K171" s="9"/>
      <c r="L171" s="8" t="s">
        <v>449</v>
      </c>
      <c r="M171" s="7"/>
      <c r="N171" s="6" t="s">
        <v>29</v>
      </c>
      <c r="O171" s="9"/>
      <c r="P171" s="32"/>
    </row>
    <row r="172" spans="1:16" ht="55.5" customHeight="1" x14ac:dyDescent="0.35">
      <c r="A172" s="51">
        <f t="shared" si="2"/>
        <v>169</v>
      </c>
      <c r="B172" s="18" t="s">
        <v>380</v>
      </c>
      <c r="C172" s="18" t="s">
        <v>450</v>
      </c>
      <c r="D172" s="11" t="s">
        <v>451</v>
      </c>
      <c r="E172" s="11" t="s">
        <v>19</v>
      </c>
      <c r="F172" s="9"/>
      <c r="G172" s="9"/>
      <c r="H172" s="9"/>
      <c r="I172" s="9"/>
      <c r="J172" s="9"/>
      <c r="K172" s="9"/>
      <c r="L172" s="9"/>
      <c r="M172" s="7"/>
      <c r="N172" s="6" t="s">
        <v>29</v>
      </c>
      <c r="O172" s="9"/>
      <c r="P172" s="32"/>
    </row>
    <row r="173" spans="1:16" ht="69.75" customHeight="1" x14ac:dyDescent="0.35">
      <c r="A173" s="18">
        <f t="shared" si="2"/>
        <v>170</v>
      </c>
      <c r="B173" s="18" t="s">
        <v>380</v>
      </c>
      <c r="C173" s="18" t="s">
        <v>452</v>
      </c>
      <c r="D173" s="11" t="s">
        <v>453</v>
      </c>
      <c r="E173" s="11" t="s">
        <v>19</v>
      </c>
      <c r="F173" s="9"/>
      <c r="G173" s="9"/>
      <c r="H173" s="9"/>
      <c r="I173" s="9"/>
      <c r="J173" s="9"/>
      <c r="K173" s="9"/>
      <c r="L173" s="9"/>
      <c r="M173" s="7"/>
      <c r="N173" s="6" t="s">
        <v>29</v>
      </c>
      <c r="O173" s="9"/>
      <c r="P173" s="32"/>
    </row>
    <row r="174" spans="1:16" ht="84" customHeight="1" x14ac:dyDescent="0.35">
      <c r="A174" s="18">
        <f t="shared" si="2"/>
        <v>171</v>
      </c>
      <c r="B174" s="18" t="s">
        <v>380</v>
      </c>
      <c r="C174" s="18" t="s">
        <v>454</v>
      </c>
      <c r="D174" s="11" t="s">
        <v>455</v>
      </c>
      <c r="E174" s="11" t="s">
        <v>19</v>
      </c>
      <c r="F174" s="9"/>
      <c r="G174" s="9"/>
      <c r="H174" s="9"/>
      <c r="I174" s="9"/>
      <c r="J174" s="9"/>
      <c r="K174" s="9"/>
      <c r="L174" s="9"/>
      <c r="M174" s="7"/>
      <c r="N174" s="6" t="s">
        <v>29</v>
      </c>
      <c r="O174" s="9"/>
      <c r="P174" s="32"/>
    </row>
    <row r="175" spans="1:16" ht="69.75" customHeight="1" x14ac:dyDescent="0.35">
      <c r="A175" s="18">
        <f t="shared" si="2"/>
        <v>172</v>
      </c>
      <c r="B175" s="18" t="s">
        <v>380</v>
      </c>
      <c r="C175" s="18" t="s">
        <v>456</v>
      </c>
      <c r="D175" s="11" t="s">
        <v>457</v>
      </c>
      <c r="E175" s="11" t="s">
        <v>19</v>
      </c>
      <c r="F175" s="6" t="s">
        <v>458</v>
      </c>
      <c r="G175" s="8" t="s">
        <v>459</v>
      </c>
      <c r="H175" s="6" t="s">
        <v>460</v>
      </c>
      <c r="I175" s="6" t="s">
        <v>461</v>
      </c>
      <c r="J175" s="8" t="s">
        <v>224</v>
      </c>
      <c r="K175" s="8">
        <v>0</v>
      </c>
      <c r="L175" s="8">
        <v>0</v>
      </c>
      <c r="M175" s="8" t="s">
        <v>462</v>
      </c>
      <c r="N175" s="6" t="s">
        <v>463</v>
      </c>
      <c r="O175" s="8" t="s">
        <v>286</v>
      </c>
      <c r="P175" s="8">
        <v>1</v>
      </c>
    </row>
    <row r="176" spans="1:16" ht="84" customHeight="1" x14ac:dyDescent="0.35">
      <c r="A176" s="18">
        <f t="shared" si="2"/>
        <v>173</v>
      </c>
      <c r="B176" s="18" t="s">
        <v>380</v>
      </c>
      <c r="C176" s="18" t="s">
        <v>464</v>
      </c>
      <c r="D176" s="11" t="s">
        <v>465</v>
      </c>
      <c r="E176" s="11" t="s">
        <v>19</v>
      </c>
      <c r="F176" s="6" t="s">
        <v>466</v>
      </c>
      <c r="G176" s="6" t="s">
        <v>467</v>
      </c>
      <c r="H176" s="6" t="s">
        <v>22</v>
      </c>
      <c r="I176" s="6" t="s">
        <v>468</v>
      </c>
      <c r="J176" s="6">
        <v>400000</v>
      </c>
      <c r="K176" s="6">
        <v>1200</v>
      </c>
      <c r="L176" s="6" t="s">
        <v>469</v>
      </c>
      <c r="M176" s="114" t="s">
        <v>470</v>
      </c>
      <c r="N176" s="6" t="s">
        <v>29</v>
      </c>
      <c r="O176" s="8" t="s">
        <v>226</v>
      </c>
      <c r="P176" s="90" t="s">
        <v>256</v>
      </c>
    </row>
    <row r="177" spans="1:16" ht="55.5" customHeight="1" x14ac:dyDescent="0.35">
      <c r="A177" s="18">
        <f t="shared" si="2"/>
        <v>174</v>
      </c>
      <c r="B177" s="18" t="s">
        <v>380</v>
      </c>
      <c r="C177" s="19" t="s">
        <v>471</v>
      </c>
      <c r="D177" s="11" t="s">
        <v>472</v>
      </c>
      <c r="E177" s="11" t="s">
        <v>19</v>
      </c>
      <c r="F177" s="9"/>
      <c r="G177" s="9"/>
      <c r="H177" s="9"/>
      <c r="I177" s="9"/>
      <c r="J177" s="9"/>
      <c r="K177" s="9"/>
      <c r="L177" s="9"/>
      <c r="M177" s="7"/>
      <c r="N177" s="6" t="s">
        <v>25</v>
      </c>
      <c r="O177" s="9"/>
      <c r="P177" s="90">
        <v>3</v>
      </c>
    </row>
    <row r="178" spans="1:16" ht="14.25" customHeight="1" x14ac:dyDescent="0.35">
      <c r="A178" s="22">
        <f t="shared" si="2"/>
        <v>175</v>
      </c>
      <c r="B178" s="22" t="s">
        <v>380</v>
      </c>
      <c r="C178" s="22" t="s">
        <v>473</v>
      </c>
      <c r="D178" s="22" t="s">
        <v>474</v>
      </c>
      <c r="E178" s="18" t="s">
        <v>19</v>
      </c>
      <c r="F178" s="6" t="s">
        <v>380</v>
      </c>
      <c r="G178" s="6" t="s">
        <v>155</v>
      </c>
      <c r="H178" s="6" t="s">
        <v>380</v>
      </c>
      <c r="I178" s="6" t="s">
        <v>23</v>
      </c>
      <c r="J178" s="6"/>
      <c r="K178" s="6" t="s">
        <v>475</v>
      </c>
      <c r="L178" s="6"/>
      <c r="M178" s="6" t="s">
        <v>476</v>
      </c>
      <c r="N178" s="6" t="s">
        <v>29</v>
      </c>
      <c r="O178" s="6"/>
      <c r="P178" s="6"/>
    </row>
    <row r="179" spans="1:16" ht="14.25" customHeight="1" x14ac:dyDescent="0.35">
      <c r="A179" s="39">
        <f t="shared" si="2"/>
        <v>176</v>
      </c>
      <c r="B179" s="39" t="s">
        <v>380</v>
      </c>
      <c r="C179" s="25" t="s">
        <v>590</v>
      </c>
      <c r="D179" s="15" t="s">
        <v>591</v>
      </c>
      <c r="E179" s="5" t="s">
        <v>19</v>
      </c>
      <c r="F179" s="65" t="s">
        <v>380</v>
      </c>
      <c r="G179" s="27" t="s">
        <v>592</v>
      </c>
      <c r="H179" s="27"/>
      <c r="I179" s="27"/>
      <c r="J179" s="27"/>
      <c r="K179" s="27"/>
      <c r="L179" s="27"/>
      <c r="M179" s="27"/>
      <c r="N179" s="41" t="s">
        <v>29</v>
      </c>
      <c r="O179" s="27"/>
      <c r="P179" s="27"/>
    </row>
    <row r="180" spans="1:16" ht="14.25" customHeight="1" x14ac:dyDescent="0.35">
      <c r="A180" s="18">
        <f t="shared" si="2"/>
        <v>177</v>
      </c>
      <c r="B180" s="18" t="s">
        <v>380</v>
      </c>
      <c r="C180" s="66" t="s">
        <v>593</v>
      </c>
      <c r="D180" s="11" t="s">
        <v>83</v>
      </c>
      <c r="E180" s="5" t="s">
        <v>19</v>
      </c>
      <c r="F180" s="67"/>
      <c r="G180" s="57"/>
      <c r="H180" s="57"/>
      <c r="I180" s="57"/>
      <c r="J180" s="57"/>
      <c r="K180" s="57"/>
      <c r="L180" s="57"/>
      <c r="M180" s="57"/>
      <c r="N180" s="56" t="s">
        <v>25</v>
      </c>
      <c r="O180" s="57"/>
      <c r="P180" s="44">
        <v>3</v>
      </c>
    </row>
    <row r="181" spans="1:16" ht="49.5" customHeight="1" x14ac:dyDescent="0.35">
      <c r="A181" s="39">
        <f t="shared" si="2"/>
        <v>178</v>
      </c>
      <c r="B181" s="39" t="s">
        <v>380</v>
      </c>
      <c r="C181" s="39" t="s">
        <v>594</v>
      </c>
      <c r="D181" s="15" t="s">
        <v>695</v>
      </c>
      <c r="E181" s="5" t="s">
        <v>19</v>
      </c>
      <c r="F181" s="65" t="s">
        <v>380</v>
      </c>
      <c r="G181" s="27" t="s">
        <v>696</v>
      </c>
      <c r="H181" s="27"/>
      <c r="I181" s="27"/>
      <c r="J181" s="27"/>
      <c r="K181" s="27"/>
      <c r="L181" s="27"/>
      <c r="M181" s="27"/>
      <c r="N181" s="41" t="s">
        <v>25</v>
      </c>
      <c r="O181" s="27"/>
      <c r="P181" s="27"/>
    </row>
    <row r="182" spans="1:16" ht="14.25" customHeight="1" x14ac:dyDescent="0.35">
      <c r="A182" s="39">
        <f t="shared" si="2"/>
        <v>179</v>
      </c>
      <c r="B182" s="39" t="s">
        <v>380</v>
      </c>
      <c r="C182" s="27" t="s">
        <v>595</v>
      </c>
      <c r="D182" s="15" t="s">
        <v>596</v>
      </c>
      <c r="E182" s="5" t="s">
        <v>19</v>
      </c>
      <c r="F182" s="65" t="s">
        <v>391</v>
      </c>
      <c r="G182" s="27" t="s">
        <v>597</v>
      </c>
      <c r="H182" s="27"/>
      <c r="I182" s="27" t="s">
        <v>23</v>
      </c>
      <c r="J182" s="27"/>
      <c r="K182" s="27"/>
      <c r="L182" s="27"/>
      <c r="M182" s="27">
        <v>360</v>
      </c>
      <c r="N182" s="41" t="s">
        <v>25</v>
      </c>
      <c r="O182" s="27"/>
      <c r="P182" s="27"/>
    </row>
    <row r="183" spans="1:16" ht="14.25" customHeight="1" x14ac:dyDescent="0.35">
      <c r="A183" s="39">
        <f t="shared" si="2"/>
        <v>180</v>
      </c>
      <c r="B183" s="39" t="s">
        <v>380</v>
      </c>
      <c r="C183" s="27" t="s">
        <v>598</v>
      </c>
      <c r="D183" s="15" t="s">
        <v>599</v>
      </c>
      <c r="E183" s="5" t="s">
        <v>19</v>
      </c>
      <c r="F183" s="65" t="s">
        <v>600</v>
      </c>
      <c r="G183" s="27" t="s">
        <v>601</v>
      </c>
      <c r="H183" s="27"/>
      <c r="I183" s="27"/>
      <c r="J183" s="27"/>
      <c r="K183" s="27"/>
      <c r="L183" s="27"/>
      <c r="M183" s="68">
        <v>24000</v>
      </c>
      <c r="N183" s="41" t="s">
        <v>25</v>
      </c>
      <c r="O183" s="27"/>
      <c r="P183" s="27"/>
    </row>
    <row r="184" spans="1:16" ht="14" customHeight="1" x14ac:dyDescent="0.35">
      <c r="A184" s="39">
        <f t="shared" si="2"/>
        <v>181</v>
      </c>
      <c r="B184" s="39" t="s">
        <v>380</v>
      </c>
      <c r="C184" s="27" t="s">
        <v>602</v>
      </c>
      <c r="D184" s="15" t="s">
        <v>603</v>
      </c>
      <c r="E184" s="5" t="s">
        <v>19</v>
      </c>
      <c r="F184" s="65" t="s">
        <v>380</v>
      </c>
      <c r="G184" s="27" t="s">
        <v>604</v>
      </c>
      <c r="H184" s="27" t="s">
        <v>156</v>
      </c>
      <c r="I184" s="27" t="s">
        <v>650</v>
      </c>
      <c r="J184" s="27">
        <v>0</v>
      </c>
      <c r="K184" s="27">
        <v>0</v>
      </c>
      <c r="L184" s="27">
        <v>0</v>
      </c>
      <c r="M184" s="27"/>
      <c r="N184" s="41" t="s">
        <v>25</v>
      </c>
      <c r="O184" s="27" t="s">
        <v>286</v>
      </c>
      <c r="P184" s="27" t="s">
        <v>256</v>
      </c>
    </row>
    <row r="185" spans="1:16" ht="14.25" customHeight="1" x14ac:dyDescent="0.35">
      <c r="A185" s="39">
        <f t="shared" si="2"/>
        <v>182</v>
      </c>
      <c r="B185" s="39" t="s">
        <v>380</v>
      </c>
      <c r="C185" s="27" t="s">
        <v>605</v>
      </c>
      <c r="D185" s="15" t="s">
        <v>606</v>
      </c>
      <c r="E185" s="5" t="s">
        <v>19</v>
      </c>
      <c r="F185" s="65" t="s">
        <v>380</v>
      </c>
      <c r="G185" s="27" t="s">
        <v>604</v>
      </c>
      <c r="H185" s="27" t="s">
        <v>156</v>
      </c>
      <c r="I185" s="27" t="s">
        <v>23</v>
      </c>
      <c r="J185" s="27">
        <v>0</v>
      </c>
      <c r="K185" s="27">
        <v>0</v>
      </c>
      <c r="L185" s="27">
        <v>0</v>
      </c>
      <c r="M185" s="27"/>
      <c r="N185" s="41" t="s">
        <v>25</v>
      </c>
      <c r="O185" s="27" t="s">
        <v>286</v>
      </c>
      <c r="P185" s="27" t="s">
        <v>256</v>
      </c>
    </row>
    <row r="186" spans="1:16" ht="42" customHeight="1" x14ac:dyDescent="0.35">
      <c r="A186" s="18">
        <f t="shared" si="2"/>
        <v>183</v>
      </c>
      <c r="B186" s="18" t="s">
        <v>477</v>
      </c>
      <c r="C186" s="18" t="s">
        <v>478</v>
      </c>
      <c r="D186" s="11" t="s">
        <v>479</v>
      </c>
      <c r="E186" s="11" t="s">
        <v>19</v>
      </c>
      <c r="F186" s="9"/>
      <c r="G186" s="9"/>
      <c r="H186" s="9"/>
      <c r="I186" s="9"/>
      <c r="J186" s="9"/>
      <c r="K186" s="9"/>
      <c r="L186" s="9"/>
      <c r="M186" s="7"/>
      <c r="N186" s="6" t="s">
        <v>29</v>
      </c>
      <c r="O186" s="9"/>
      <c r="P186" s="32"/>
    </row>
    <row r="187" spans="1:16" ht="69.75" customHeight="1" x14ac:dyDescent="0.35">
      <c r="A187" s="18">
        <f t="shared" si="2"/>
        <v>184</v>
      </c>
      <c r="B187" s="18" t="s">
        <v>477</v>
      </c>
      <c r="C187" s="18" t="s">
        <v>480</v>
      </c>
      <c r="D187" s="11" t="s">
        <v>481</v>
      </c>
      <c r="E187" s="11" t="s">
        <v>19</v>
      </c>
      <c r="F187" s="8" t="s">
        <v>482</v>
      </c>
      <c r="G187" s="8" t="s">
        <v>483</v>
      </c>
      <c r="H187" s="6" t="s">
        <v>65</v>
      </c>
      <c r="I187" s="6" t="s">
        <v>70</v>
      </c>
      <c r="J187" s="52">
        <v>100000</v>
      </c>
      <c r="K187" s="6"/>
      <c r="L187" s="7" t="s">
        <v>484</v>
      </c>
      <c r="M187" s="7"/>
      <c r="N187" s="8" t="s">
        <v>29</v>
      </c>
      <c r="O187" s="8" t="s">
        <v>204</v>
      </c>
      <c r="P187" s="32"/>
    </row>
    <row r="188" spans="1:16" ht="40.5" customHeight="1" x14ac:dyDescent="0.35">
      <c r="A188" s="18">
        <f t="shared" si="2"/>
        <v>185</v>
      </c>
      <c r="B188" s="18" t="s">
        <v>477</v>
      </c>
      <c r="C188" s="18" t="s">
        <v>485</v>
      </c>
      <c r="D188" s="11"/>
      <c r="E188" s="11" t="s">
        <v>19</v>
      </c>
      <c r="F188" s="8"/>
      <c r="G188" s="8" t="s">
        <v>486</v>
      </c>
      <c r="H188" s="6" t="s">
        <v>65</v>
      </c>
      <c r="I188" s="6" t="s">
        <v>310</v>
      </c>
      <c r="J188" s="52">
        <v>100000</v>
      </c>
      <c r="K188" s="6"/>
      <c r="L188" s="7"/>
      <c r="M188" s="7"/>
      <c r="N188" s="9"/>
      <c r="O188" s="6" t="s">
        <v>204</v>
      </c>
      <c r="P188" s="32"/>
    </row>
    <row r="189" spans="1:16" ht="84" customHeight="1" x14ac:dyDescent="0.35">
      <c r="A189" s="18">
        <f t="shared" si="2"/>
        <v>186</v>
      </c>
      <c r="B189" s="18" t="s">
        <v>477</v>
      </c>
      <c r="C189" s="18" t="s">
        <v>488</v>
      </c>
      <c r="D189" s="11" t="s">
        <v>489</v>
      </c>
      <c r="E189" s="11" t="s">
        <v>19</v>
      </c>
      <c r="F189" s="20" t="s">
        <v>477</v>
      </c>
      <c r="G189" s="20" t="s">
        <v>490</v>
      </c>
      <c r="H189" s="8" t="s">
        <v>65</v>
      </c>
      <c r="I189" s="8" t="s">
        <v>310</v>
      </c>
      <c r="J189" s="7"/>
      <c r="K189" s="7"/>
      <c r="L189" s="114" t="s">
        <v>286</v>
      </c>
      <c r="M189" s="47"/>
      <c r="N189" s="20" t="s">
        <v>487</v>
      </c>
      <c r="O189" s="114" t="s">
        <v>204</v>
      </c>
      <c r="P189" s="47"/>
    </row>
    <row r="190" spans="1:16" ht="126" customHeight="1" x14ac:dyDescent="0.35">
      <c r="A190" s="18">
        <f t="shared" si="2"/>
        <v>187</v>
      </c>
      <c r="B190" s="18" t="s">
        <v>477</v>
      </c>
      <c r="C190" s="18" t="s">
        <v>491</v>
      </c>
      <c r="D190" s="11" t="s">
        <v>492</v>
      </c>
      <c r="E190" s="11" t="s">
        <v>19</v>
      </c>
      <c r="F190" s="20" t="s">
        <v>477</v>
      </c>
      <c r="G190" s="20" t="s">
        <v>207</v>
      </c>
      <c r="H190" s="8" t="s">
        <v>493</v>
      </c>
      <c r="I190" s="8" t="s">
        <v>310</v>
      </c>
      <c r="J190" s="7"/>
      <c r="K190" s="7"/>
      <c r="L190" s="114" t="s">
        <v>286</v>
      </c>
      <c r="M190" s="47"/>
      <c r="N190" s="20" t="s">
        <v>29</v>
      </c>
      <c r="O190" s="114" t="s">
        <v>226</v>
      </c>
      <c r="P190" s="47"/>
    </row>
    <row r="191" spans="1:16" ht="51" customHeight="1" x14ac:dyDescent="0.35">
      <c r="A191" s="18">
        <f t="shared" si="2"/>
        <v>188</v>
      </c>
      <c r="B191" s="18" t="s">
        <v>477</v>
      </c>
      <c r="C191" s="18" t="s">
        <v>494</v>
      </c>
      <c r="D191" s="11"/>
      <c r="E191" s="11" t="s">
        <v>19</v>
      </c>
      <c r="F191" s="47"/>
      <c r="G191" s="47"/>
      <c r="H191" s="7"/>
      <c r="I191" s="7"/>
      <c r="J191" s="7"/>
      <c r="K191" s="7"/>
      <c r="L191" s="7"/>
      <c r="M191" s="47"/>
      <c r="N191" s="20" t="s">
        <v>29</v>
      </c>
      <c r="O191" s="7"/>
      <c r="P191" s="47"/>
    </row>
    <row r="192" spans="1:16" ht="75" customHeight="1" x14ac:dyDescent="0.35">
      <c r="A192" s="18">
        <f t="shared" si="2"/>
        <v>189</v>
      </c>
      <c r="B192" s="18" t="s">
        <v>477</v>
      </c>
      <c r="C192" s="18" t="s">
        <v>495</v>
      </c>
      <c r="D192" s="22" t="s">
        <v>496</v>
      </c>
      <c r="E192" s="18" t="s">
        <v>19</v>
      </c>
      <c r="F192" s="6"/>
      <c r="G192" s="20"/>
      <c r="H192" s="6" t="s">
        <v>65</v>
      </c>
      <c r="I192" s="6" t="s">
        <v>70</v>
      </c>
      <c r="J192" s="8">
        <v>1000000</v>
      </c>
      <c r="K192" s="9"/>
      <c r="L192" s="9"/>
      <c r="M192" s="7"/>
      <c r="N192" s="6" t="s">
        <v>29</v>
      </c>
      <c r="O192" s="6" t="s">
        <v>212</v>
      </c>
      <c r="P192" s="32"/>
    </row>
    <row r="193" spans="1:16" ht="14.25" customHeight="1" x14ac:dyDescent="0.35">
      <c r="A193" s="22">
        <f t="shared" si="2"/>
        <v>190</v>
      </c>
      <c r="B193" s="22" t="s">
        <v>477</v>
      </c>
      <c r="C193" s="22" t="s">
        <v>497</v>
      </c>
      <c r="D193" s="22" t="s">
        <v>498</v>
      </c>
      <c r="E193" s="18" t="s">
        <v>19</v>
      </c>
      <c r="F193" s="6" t="s">
        <v>477</v>
      </c>
      <c r="G193" s="6" t="s">
        <v>155</v>
      </c>
      <c r="H193" s="9" t="s">
        <v>265</v>
      </c>
      <c r="I193" s="6" t="s">
        <v>23</v>
      </c>
      <c r="J193" s="6" t="s">
        <v>499</v>
      </c>
      <c r="K193" s="6" t="s">
        <v>500</v>
      </c>
      <c r="L193" s="6"/>
      <c r="M193" s="6"/>
      <c r="N193" s="6" t="s">
        <v>158</v>
      </c>
      <c r="O193" s="6"/>
      <c r="P193" s="6"/>
    </row>
    <row r="194" spans="1:16" ht="14.25" customHeight="1" x14ac:dyDescent="0.35">
      <c r="A194" s="39">
        <f t="shared" ref="A194:A221" si="3">ROW()-3</f>
        <v>191</v>
      </c>
      <c r="B194" s="39" t="s">
        <v>477</v>
      </c>
      <c r="C194" s="25" t="s">
        <v>607</v>
      </c>
      <c r="D194" s="15" t="s">
        <v>608</v>
      </c>
      <c r="E194" s="5" t="s">
        <v>19</v>
      </c>
      <c r="F194" s="65" t="s">
        <v>477</v>
      </c>
      <c r="G194" s="27" t="s">
        <v>609</v>
      </c>
      <c r="H194" s="27"/>
      <c r="I194" s="27"/>
      <c r="J194" s="27"/>
      <c r="K194" s="27"/>
      <c r="L194" s="27"/>
      <c r="M194" s="27"/>
      <c r="N194" s="41" t="s">
        <v>29</v>
      </c>
      <c r="O194" s="27"/>
      <c r="P194" s="27"/>
    </row>
    <row r="195" spans="1:16" ht="14.25" customHeight="1" x14ac:dyDescent="0.35">
      <c r="A195" s="39">
        <f t="shared" si="3"/>
        <v>192</v>
      </c>
      <c r="B195" s="39" t="s">
        <v>477</v>
      </c>
      <c r="C195" s="25" t="s">
        <v>610</v>
      </c>
      <c r="D195" s="15" t="s">
        <v>611</v>
      </c>
      <c r="E195" s="5" t="s">
        <v>19</v>
      </c>
      <c r="F195" s="65" t="s">
        <v>477</v>
      </c>
      <c r="G195" s="27" t="s">
        <v>609</v>
      </c>
      <c r="H195" s="27"/>
      <c r="I195" s="27"/>
      <c r="J195" s="27"/>
      <c r="K195" s="27"/>
      <c r="L195" s="27"/>
      <c r="M195" s="27"/>
      <c r="N195" s="41" t="s">
        <v>29</v>
      </c>
      <c r="O195" s="27"/>
      <c r="P195" s="27"/>
    </row>
    <row r="196" spans="1:16" ht="14.25" customHeight="1" x14ac:dyDescent="0.35">
      <c r="A196" s="39">
        <f t="shared" si="3"/>
        <v>193</v>
      </c>
      <c r="B196" s="39" t="s">
        <v>477</v>
      </c>
      <c r="C196" s="25" t="s">
        <v>612</v>
      </c>
      <c r="D196" s="15" t="s">
        <v>613</v>
      </c>
      <c r="E196" s="5" t="s">
        <v>19</v>
      </c>
      <c r="F196" s="65" t="s">
        <v>477</v>
      </c>
      <c r="G196" s="27" t="s">
        <v>609</v>
      </c>
      <c r="H196" s="27"/>
      <c r="I196" s="27"/>
      <c r="J196" s="27"/>
      <c r="K196" s="27"/>
      <c r="L196" s="27"/>
      <c r="M196" s="27"/>
      <c r="N196" s="41" t="s">
        <v>614</v>
      </c>
      <c r="O196" s="27"/>
      <c r="P196" s="27"/>
    </row>
    <row r="197" spans="1:16" ht="14.25" customHeight="1" x14ac:dyDescent="0.35">
      <c r="A197" s="39">
        <f t="shared" si="3"/>
        <v>194</v>
      </c>
      <c r="B197" s="39" t="s">
        <v>477</v>
      </c>
      <c r="C197" s="26" t="s">
        <v>615</v>
      </c>
      <c r="D197" s="15" t="s">
        <v>616</v>
      </c>
      <c r="E197" s="5" t="s">
        <v>19</v>
      </c>
      <c r="F197" s="65"/>
      <c r="G197" s="27" t="s">
        <v>617</v>
      </c>
      <c r="H197" s="27"/>
      <c r="I197" s="27"/>
      <c r="J197" s="27"/>
      <c r="K197" s="27"/>
      <c r="L197" s="27"/>
      <c r="M197" s="26" t="s">
        <v>618</v>
      </c>
      <c r="N197" s="41" t="s">
        <v>29</v>
      </c>
      <c r="O197" s="27"/>
      <c r="P197" s="27"/>
    </row>
    <row r="198" spans="1:16" ht="42" customHeight="1" x14ac:dyDescent="0.35">
      <c r="A198" s="18">
        <f t="shared" si="3"/>
        <v>195</v>
      </c>
      <c r="B198" s="18" t="s">
        <v>501</v>
      </c>
      <c r="C198" s="18" t="s">
        <v>502</v>
      </c>
      <c r="D198" s="11" t="s">
        <v>503</v>
      </c>
      <c r="E198" s="11" t="s">
        <v>19</v>
      </c>
      <c r="F198" s="9"/>
      <c r="G198" s="9"/>
      <c r="H198" s="9"/>
      <c r="I198" s="9"/>
      <c r="J198" s="9"/>
      <c r="K198" s="9"/>
      <c r="L198" s="9"/>
      <c r="M198" s="7"/>
      <c r="N198" s="6" t="s">
        <v>29</v>
      </c>
      <c r="O198" s="9"/>
      <c r="P198" s="32"/>
    </row>
    <row r="199" spans="1:16" ht="42" customHeight="1" x14ac:dyDescent="0.35">
      <c r="A199" s="18">
        <f t="shared" si="3"/>
        <v>196</v>
      </c>
      <c r="B199" s="18" t="s">
        <v>501</v>
      </c>
      <c r="C199" s="18" t="s">
        <v>504</v>
      </c>
      <c r="D199" s="11" t="s">
        <v>505</v>
      </c>
      <c r="E199" s="11" t="s">
        <v>19</v>
      </c>
      <c r="F199" s="9"/>
      <c r="G199" s="9"/>
      <c r="H199" s="9"/>
      <c r="I199" s="9"/>
      <c r="J199" s="9"/>
      <c r="K199" s="9"/>
      <c r="L199" s="9"/>
      <c r="M199" s="7"/>
      <c r="N199" s="6" t="s">
        <v>29</v>
      </c>
      <c r="O199" s="9"/>
      <c r="P199" s="32"/>
    </row>
    <row r="200" spans="1:16" ht="42" customHeight="1" x14ac:dyDescent="0.35">
      <c r="A200" s="18">
        <f t="shared" si="3"/>
        <v>197</v>
      </c>
      <c r="B200" s="18" t="s">
        <v>501</v>
      </c>
      <c r="C200" s="18" t="s">
        <v>506</v>
      </c>
      <c r="D200" s="11" t="s">
        <v>507</v>
      </c>
      <c r="E200" s="11" t="s">
        <v>19</v>
      </c>
      <c r="F200" s="8" t="s">
        <v>347</v>
      </c>
      <c r="G200" s="8" t="s">
        <v>508</v>
      </c>
      <c r="H200" s="8" t="s">
        <v>22</v>
      </c>
      <c r="I200" s="20" t="s">
        <v>509</v>
      </c>
      <c r="J200" s="20" t="s">
        <v>510</v>
      </c>
      <c r="K200" s="9"/>
      <c r="L200" s="9"/>
      <c r="M200" s="7"/>
      <c r="N200" s="6" t="s">
        <v>29</v>
      </c>
      <c r="O200" s="9"/>
      <c r="P200" s="32"/>
    </row>
    <row r="201" spans="1:16" ht="42" customHeight="1" x14ac:dyDescent="0.35">
      <c r="A201" s="18">
        <f t="shared" si="3"/>
        <v>198</v>
      </c>
      <c r="B201" s="18" t="s">
        <v>501</v>
      </c>
      <c r="C201" s="18" t="s">
        <v>511</v>
      </c>
      <c r="D201" s="11" t="s">
        <v>512</v>
      </c>
      <c r="E201" s="11" t="s">
        <v>19</v>
      </c>
      <c r="F201" s="8" t="s">
        <v>513</v>
      </c>
      <c r="G201" s="8" t="s">
        <v>514</v>
      </c>
      <c r="H201" s="8" t="s">
        <v>65</v>
      </c>
      <c r="I201" s="20" t="s">
        <v>515</v>
      </c>
      <c r="J201" s="53">
        <v>1000000</v>
      </c>
      <c r="K201" s="9"/>
      <c r="L201" s="9"/>
      <c r="M201" s="7"/>
      <c r="N201" s="6" t="s">
        <v>29</v>
      </c>
      <c r="O201" s="9"/>
      <c r="P201" s="32"/>
    </row>
    <row r="202" spans="1:16" ht="84" customHeight="1" x14ac:dyDescent="0.35">
      <c r="A202" s="18">
        <f t="shared" si="3"/>
        <v>199</v>
      </c>
      <c r="B202" s="18" t="s">
        <v>501</v>
      </c>
      <c r="C202" s="18" t="s">
        <v>516</v>
      </c>
      <c r="D202" s="11" t="s">
        <v>517</v>
      </c>
      <c r="E202" s="11" t="s">
        <v>19</v>
      </c>
      <c r="F202" s="8" t="s">
        <v>518</v>
      </c>
      <c r="G202" s="8" t="s">
        <v>519</v>
      </c>
      <c r="H202" s="8" t="s">
        <v>65</v>
      </c>
      <c r="I202" s="20" t="s">
        <v>520</v>
      </c>
      <c r="J202" s="53">
        <v>50000000</v>
      </c>
      <c r="K202" s="9"/>
      <c r="L202" s="9"/>
      <c r="M202" s="7"/>
      <c r="N202" s="6" t="s">
        <v>29</v>
      </c>
      <c r="O202" s="9"/>
      <c r="P202" s="32"/>
    </row>
    <row r="203" spans="1:16" ht="55.5" customHeight="1" x14ac:dyDescent="0.35">
      <c r="A203" s="18">
        <f t="shared" si="3"/>
        <v>200</v>
      </c>
      <c r="B203" s="18" t="s">
        <v>501</v>
      </c>
      <c r="C203" s="18" t="s">
        <v>521</v>
      </c>
      <c r="D203" s="11" t="s">
        <v>522</v>
      </c>
      <c r="E203" s="11" t="s">
        <v>19</v>
      </c>
      <c r="F203" s="9"/>
      <c r="G203" s="9"/>
      <c r="H203" s="9"/>
      <c r="I203" s="9"/>
      <c r="J203" s="9"/>
      <c r="K203" s="9"/>
      <c r="L203" s="9"/>
      <c r="M203" s="7"/>
      <c r="N203" s="6" t="s">
        <v>29</v>
      </c>
      <c r="O203" s="9"/>
      <c r="P203" s="32"/>
    </row>
    <row r="204" spans="1:16" ht="14.25" customHeight="1" x14ac:dyDescent="0.35">
      <c r="A204" s="39">
        <f t="shared" si="3"/>
        <v>201</v>
      </c>
      <c r="B204" s="39" t="s">
        <v>501</v>
      </c>
      <c r="C204" s="25" t="s">
        <v>619</v>
      </c>
      <c r="D204" s="15" t="s">
        <v>620</v>
      </c>
      <c r="E204" s="5" t="s">
        <v>19</v>
      </c>
      <c r="F204" s="65"/>
      <c r="G204" s="27"/>
      <c r="H204" s="27"/>
      <c r="I204" s="27"/>
      <c r="J204" s="27"/>
      <c r="K204" s="27"/>
      <c r="L204" s="27"/>
      <c r="M204" s="27"/>
      <c r="N204" s="41" t="s">
        <v>158</v>
      </c>
      <c r="O204" s="27"/>
      <c r="P204" s="27"/>
    </row>
    <row r="205" spans="1:16" ht="14.25" customHeight="1" x14ac:dyDescent="0.35">
      <c r="A205" s="39">
        <f t="shared" si="3"/>
        <v>202</v>
      </c>
      <c r="B205" s="39" t="s">
        <v>501</v>
      </c>
      <c r="C205" s="25" t="s">
        <v>621</v>
      </c>
      <c r="D205" s="15" t="s">
        <v>622</v>
      </c>
      <c r="E205" s="5" t="s">
        <v>19</v>
      </c>
      <c r="F205" s="65"/>
      <c r="G205" s="27"/>
      <c r="H205" s="27"/>
      <c r="I205" s="27"/>
      <c r="J205" s="27"/>
      <c r="K205" s="27"/>
      <c r="L205" s="27"/>
      <c r="M205" s="27"/>
      <c r="N205" s="41" t="s">
        <v>158</v>
      </c>
      <c r="O205" s="27"/>
      <c r="P205" s="27"/>
    </row>
    <row r="206" spans="1:16" ht="14.25" customHeight="1" x14ac:dyDescent="0.35">
      <c r="A206" s="39">
        <f t="shared" si="3"/>
        <v>203</v>
      </c>
      <c r="B206" s="39" t="s">
        <v>501</v>
      </c>
      <c r="C206" s="25" t="s">
        <v>623</v>
      </c>
      <c r="D206" s="15" t="s">
        <v>624</v>
      </c>
      <c r="E206" s="5" t="s">
        <v>19</v>
      </c>
      <c r="F206" s="65"/>
      <c r="G206" s="27" t="s">
        <v>693</v>
      </c>
      <c r="H206" s="27"/>
      <c r="I206" s="27"/>
      <c r="J206" s="27"/>
      <c r="K206" s="27" t="s">
        <v>694</v>
      </c>
      <c r="L206" s="27"/>
      <c r="M206" s="26" t="s">
        <v>625</v>
      </c>
      <c r="N206" s="41" t="s">
        <v>25</v>
      </c>
      <c r="O206" s="27"/>
      <c r="P206" s="27"/>
    </row>
    <row r="207" spans="1:16" ht="55.5" customHeight="1" x14ac:dyDescent="0.35">
      <c r="A207" s="71">
        <f t="shared" si="3"/>
        <v>204</v>
      </c>
      <c r="B207" s="71" t="s">
        <v>523</v>
      </c>
      <c r="C207" s="71" t="s">
        <v>524</v>
      </c>
      <c r="D207" s="72" t="s">
        <v>525</v>
      </c>
      <c r="E207" s="72" t="s">
        <v>19</v>
      </c>
      <c r="F207" s="73" t="s">
        <v>523</v>
      </c>
      <c r="G207" s="73" t="s">
        <v>643</v>
      </c>
      <c r="H207" s="73" t="s">
        <v>22</v>
      </c>
      <c r="I207" s="73" t="s">
        <v>527</v>
      </c>
      <c r="J207" s="73">
        <v>40000</v>
      </c>
      <c r="K207" s="73">
        <v>30000</v>
      </c>
      <c r="L207" s="73" t="s">
        <v>29</v>
      </c>
      <c r="M207" s="7"/>
      <c r="N207" s="70" t="s">
        <v>29</v>
      </c>
      <c r="O207" s="70" t="s">
        <v>204</v>
      </c>
      <c r="P207" s="32"/>
    </row>
    <row r="208" spans="1:16" ht="14.25" customHeight="1" x14ac:dyDescent="0.35">
      <c r="A208" s="39">
        <f t="shared" si="3"/>
        <v>205</v>
      </c>
      <c r="B208" s="39" t="s">
        <v>523</v>
      </c>
      <c r="C208" s="25" t="s">
        <v>626</v>
      </c>
      <c r="D208" s="15" t="s">
        <v>627</v>
      </c>
      <c r="E208" s="5" t="s">
        <v>19</v>
      </c>
      <c r="F208" s="65" t="s">
        <v>526</v>
      </c>
      <c r="G208" s="75" t="s">
        <v>644</v>
      </c>
      <c r="H208" s="41" t="s">
        <v>22</v>
      </c>
      <c r="I208" s="41" t="s">
        <v>628</v>
      </c>
      <c r="J208" s="68" t="s">
        <v>286</v>
      </c>
      <c r="K208" s="68" t="s">
        <v>286</v>
      </c>
      <c r="L208" s="27"/>
      <c r="M208" s="27" t="s">
        <v>629</v>
      </c>
      <c r="N208" s="41" t="s">
        <v>29</v>
      </c>
      <c r="O208" s="27"/>
      <c r="P208" s="27"/>
    </row>
    <row r="209" spans="1:16" ht="139.5" customHeight="1" x14ac:dyDescent="0.35">
      <c r="A209" s="18">
        <f t="shared" si="3"/>
        <v>206</v>
      </c>
      <c r="B209" s="18" t="s">
        <v>528</v>
      </c>
      <c r="C209" s="18" t="s">
        <v>529</v>
      </c>
      <c r="D209" s="11" t="s">
        <v>530</v>
      </c>
      <c r="E209" s="11" t="s">
        <v>19</v>
      </c>
      <c r="F209" s="6" t="s">
        <v>528</v>
      </c>
      <c r="G209" s="6" t="s">
        <v>531</v>
      </c>
      <c r="H209" s="6" t="s">
        <v>156</v>
      </c>
      <c r="I209" s="6" t="s">
        <v>23</v>
      </c>
      <c r="J209" s="6">
        <v>500000</v>
      </c>
      <c r="K209" s="9"/>
      <c r="L209" s="6" t="s">
        <v>532</v>
      </c>
      <c r="M209" s="7"/>
      <c r="N209" s="6" t="s">
        <v>25</v>
      </c>
      <c r="O209" s="6" t="s">
        <v>226</v>
      </c>
      <c r="P209" s="32"/>
    </row>
    <row r="210" spans="1:16" ht="168" customHeight="1" x14ac:dyDescent="0.35">
      <c r="A210" s="18">
        <f t="shared" si="3"/>
        <v>207</v>
      </c>
      <c r="B210" s="18" t="s">
        <v>528</v>
      </c>
      <c r="C210" s="18" t="s">
        <v>533</v>
      </c>
      <c r="D210" s="11" t="s">
        <v>534</v>
      </c>
      <c r="E210" s="11" t="s">
        <v>19</v>
      </c>
      <c r="F210" s="6" t="s">
        <v>528</v>
      </c>
      <c r="G210" s="6" t="s">
        <v>535</v>
      </c>
      <c r="H210" s="6" t="s">
        <v>156</v>
      </c>
      <c r="I210" s="6" t="s">
        <v>70</v>
      </c>
      <c r="J210" s="6">
        <v>1200000</v>
      </c>
      <c r="K210" s="9"/>
      <c r="L210" s="6" t="s">
        <v>532</v>
      </c>
      <c r="M210" s="7"/>
      <c r="N210" s="6" t="s">
        <v>29</v>
      </c>
      <c r="O210" s="6" t="s">
        <v>226</v>
      </c>
      <c r="P210" s="32"/>
    </row>
    <row r="211" spans="1:16" ht="139.5" customHeight="1" x14ac:dyDescent="0.35">
      <c r="A211" s="18">
        <f t="shared" si="3"/>
        <v>208</v>
      </c>
      <c r="B211" s="18" t="s">
        <v>528</v>
      </c>
      <c r="C211" s="18" t="s">
        <v>536</v>
      </c>
      <c r="D211" s="11" t="s">
        <v>537</v>
      </c>
      <c r="E211" s="11" t="s">
        <v>19</v>
      </c>
      <c r="F211" s="6" t="s">
        <v>528</v>
      </c>
      <c r="G211" s="6" t="s">
        <v>538</v>
      </c>
      <c r="H211" s="6" t="s">
        <v>156</v>
      </c>
      <c r="I211" s="6" t="s">
        <v>70</v>
      </c>
      <c r="J211" s="6">
        <v>1500000</v>
      </c>
      <c r="K211" s="9"/>
      <c r="L211" s="6" t="s">
        <v>532</v>
      </c>
      <c r="M211" s="7"/>
      <c r="N211" s="6" t="s">
        <v>29</v>
      </c>
      <c r="O211" s="6" t="s">
        <v>226</v>
      </c>
      <c r="P211" s="32"/>
    </row>
    <row r="212" spans="1:16" ht="72.75" customHeight="1" x14ac:dyDescent="0.35">
      <c r="A212" s="18">
        <f t="shared" si="3"/>
        <v>209</v>
      </c>
      <c r="B212" s="18" t="s">
        <v>528</v>
      </c>
      <c r="C212" s="18" t="s">
        <v>539</v>
      </c>
      <c r="D212" s="24"/>
      <c r="E212" s="11" t="s">
        <v>19</v>
      </c>
      <c r="F212" s="6" t="s">
        <v>528</v>
      </c>
      <c r="G212" s="20" t="s">
        <v>540</v>
      </c>
      <c r="H212" s="6" t="s">
        <v>156</v>
      </c>
      <c r="I212" s="6" t="s">
        <v>23</v>
      </c>
      <c r="J212" s="8" t="s">
        <v>286</v>
      </c>
      <c r="K212" s="8" t="s">
        <v>286</v>
      </c>
      <c r="L212" s="8" t="s">
        <v>532</v>
      </c>
      <c r="M212" s="114" t="s">
        <v>679</v>
      </c>
      <c r="N212" s="6" t="s">
        <v>25</v>
      </c>
      <c r="O212" s="6" t="s">
        <v>226</v>
      </c>
      <c r="P212" s="90" t="s">
        <v>680</v>
      </c>
    </row>
    <row r="213" spans="1:16" ht="139.5" customHeight="1" x14ac:dyDescent="0.35">
      <c r="A213" s="18">
        <f t="shared" si="3"/>
        <v>210</v>
      </c>
      <c r="B213" s="18" t="s">
        <v>528</v>
      </c>
      <c r="C213" s="18" t="s">
        <v>541</v>
      </c>
      <c r="D213" s="11" t="s">
        <v>542</v>
      </c>
      <c r="E213" s="11" t="s">
        <v>19</v>
      </c>
      <c r="F213" s="6" t="s">
        <v>528</v>
      </c>
      <c r="G213" s="20" t="s">
        <v>543</v>
      </c>
      <c r="H213" s="6" t="s">
        <v>156</v>
      </c>
      <c r="I213" s="6" t="s">
        <v>23</v>
      </c>
      <c r="J213" s="8" t="s">
        <v>286</v>
      </c>
      <c r="K213" s="8" t="s">
        <v>286</v>
      </c>
      <c r="L213" s="6" t="s">
        <v>532</v>
      </c>
      <c r="M213" s="114" t="s">
        <v>681</v>
      </c>
      <c r="N213" s="6" t="s">
        <v>29</v>
      </c>
      <c r="O213" s="6" t="s">
        <v>226</v>
      </c>
      <c r="P213" s="90" t="s">
        <v>680</v>
      </c>
    </row>
    <row r="214" spans="1:16" ht="126" customHeight="1" x14ac:dyDescent="0.35">
      <c r="A214" s="18">
        <f t="shared" si="3"/>
        <v>211</v>
      </c>
      <c r="B214" s="18" t="s">
        <v>528</v>
      </c>
      <c r="C214" s="18" t="s">
        <v>544</v>
      </c>
      <c r="D214" s="11" t="s">
        <v>545</v>
      </c>
      <c r="E214" s="11" t="s">
        <v>19</v>
      </c>
      <c r="F214" s="6" t="s">
        <v>528</v>
      </c>
      <c r="G214" s="20" t="s">
        <v>540</v>
      </c>
      <c r="H214" s="6" t="s">
        <v>156</v>
      </c>
      <c r="I214" s="6" t="s">
        <v>23</v>
      </c>
      <c r="J214" s="8" t="s">
        <v>286</v>
      </c>
      <c r="K214" s="8" t="s">
        <v>286</v>
      </c>
      <c r="L214" s="8" t="s">
        <v>682</v>
      </c>
      <c r="M214" s="102" t="s">
        <v>683</v>
      </c>
      <c r="N214" s="103" t="s">
        <v>25</v>
      </c>
      <c r="O214" s="103" t="s">
        <v>226</v>
      </c>
      <c r="P214" s="104" t="s">
        <v>680</v>
      </c>
    </row>
    <row r="215" spans="1:16" ht="195.75" customHeight="1" x14ac:dyDescent="0.35">
      <c r="A215" s="18">
        <f t="shared" si="3"/>
        <v>212</v>
      </c>
      <c r="B215" s="18" t="s">
        <v>528</v>
      </c>
      <c r="C215" s="18" t="s">
        <v>546</v>
      </c>
      <c r="D215" s="11" t="s">
        <v>547</v>
      </c>
      <c r="E215" s="11" t="s">
        <v>19</v>
      </c>
      <c r="F215" s="6" t="s">
        <v>528</v>
      </c>
      <c r="G215" s="20" t="s">
        <v>548</v>
      </c>
      <c r="H215" s="6" t="s">
        <v>156</v>
      </c>
      <c r="I215" s="6" t="s">
        <v>23</v>
      </c>
      <c r="J215" s="105" t="s">
        <v>286</v>
      </c>
      <c r="K215" s="105" t="s">
        <v>286</v>
      </c>
      <c r="L215" s="105" t="s">
        <v>532</v>
      </c>
      <c r="M215" s="102" t="s">
        <v>684</v>
      </c>
      <c r="N215" s="103" t="s">
        <v>25</v>
      </c>
      <c r="O215" s="103" t="s">
        <v>226</v>
      </c>
      <c r="P215" s="104" t="s">
        <v>680</v>
      </c>
    </row>
    <row r="216" spans="1:16" ht="41.25" customHeight="1" x14ac:dyDescent="0.35">
      <c r="A216" s="18">
        <f t="shared" si="3"/>
        <v>213</v>
      </c>
      <c r="B216" s="18" t="s">
        <v>528</v>
      </c>
      <c r="C216" s="18" t="s">
        <v>549</v>
      </c>
      <c r="D216" s="7"/>
      <c r="E216" s="18" t="s">
        <v>19</v>
      </c>
      <c r="F216" s="6" t="s">
        <v>528</v>
      </c>
      <c r="G216" s="20" t="s">
        <v>543</v>
      </c>
      <c r="H216" s="6" t="s">
        <v>156</v>
      </c>
      <c r="I216" s="6" t="s">
        <v>23</v>
      </c>
      <c r="J216" s="105" t="s">
        <v>286</v>
      </c>
      <c r="K216" s="105" t="s">
        <v>286</v>
      </c>
      <c r="L216" s="105" t="s">
        <v>532</v>
      </c>
      <c r="M216" s="102" t="s">
        <v>685</v>
      </c>
      <c r="N216" s="103" t="s">
        <v>25</v>
      </c>
      <c r="O216" s="103" t="s">
        <v>226</v>
      </c>
      <c r="P216" s="104" t="s">
        <v>680</v>
      </c>
    </row>
    <row r="217" spans="1:16" ht="41.25" customHeight="1" x14ac:dyDescent="0.35">
      <c r="A217" s="18">
        <f t="shared" si="3"/>
        <v>214</v>
      </c>
      <c r="B217" s="18" t="s">
        <v>528</v>
      </c>
      <c r="C217" s="18" t="s">
        <v>550</v>
      </c>
      <c r="D217" s="7"/>
      <c r="E217" s="18" t="s">
        <v>19</v>
      </c>
      <c r="F217" s="6" t="s">
        <v>528</v>
      </c>
      <c r="G217" s="20" t="s">
        <v>543</v>
      </c>
      <c r="H217" s="6" t="s">
        <v>156</v>
      </c>
      <c r="I217" s="6" t="s">
        <v>23</v>
      </c>
      <c r="J217" s="105" t="s">
        <v>286</v>
      </c>
      <c r="K217" s="105" t="s">
        <v>286</v>
      </c>
      <c r="L217" s="105" t="s">
        <v>532</v>
      </c>
      <c r="M217" s="102" t="s">
        <v>686</v>
      </c>
      <c r="N217" s="103" t="s">
        <v>25</v>
      </c>
      <c r="O217" s="103" t="s">
        <v>226</v>
      </c>
      <c r="P217" s="104" t="s">
        <v>680</v>
      </c>
    </row>
    <row r="218" spans="1:16" ht="55.5" customHeight="1" x14ac:dyDescent="0.35">
      <c r="A218" s="18">
        <f t="shared" si="3"/>
        <v>215</v>
      </c>
      <c r="B218" s="18" t="s">
        <v>528</v>
      </c>
      <c r="C218" s="18" t="s">
        <v>551</v>
      </c>
      <c r="D218" s="11" t="s">
        <v>552</v>
      </c>
      <c r="E218" s="11" t="s">
        <v>19</v>
      </c>
      <c r="F218" s="8" t="s">
        <v>553</v>
      </c>
      <c r="G218" s="8" t="s">
        <v>554</v>
      </c>
      <c r="H218" s="8" t="s">
        <v>22</v>
      </c>
      <c r="I218" s="8" t="s">
        <v>23</v>
      </c>
      <c r="J218" s="9"/>
      <c r="K218" s="9"/>
      <c r="L218" s="9"/>
      <c r="M218" s="7"/>
      <c r="N218" s="6" t="s">
        <v>25</v>
      </c>
      <c r="O218" s="9"/>
      <c r="P218" s="90">
        <v>3</v>
      </c>
    </row>
    <row r="219" spans="1:16" ht="55.5" customHeight="1" x14ac:dyDescent="0.35">
      <c r="A219" s="18">
        <f t="shared" si="3"/>
        <v>216</v>
      </c>
      <c r="B219" s="18" t="s">
        <v>528</v>
      </c>
      <c r="C219" s="18" t="s">
        <v>215</v>
      </c>
      <c r="D219" s="11" t="s">
        <v>216</v>
      </c>
      <c r="E219" s="11" t="s">
        <v>19</v>
      </c>
      <c r="F219" s="9"/>
      <c r="G219" s="9"/>
      <c r="H219" s="9"/>
      <c r="I219" s="9"/>
      <c r="J219" s="9"/>
      <c r="K219" s="9"/>
      <c r="L219" s="7"/>
      <c r="M219" s="7"/>
      <c r="N219" s="6" t="s">
        <v>217</v>
      </c>
      <c r="O219" s="9"/>
      <c r="P219" s="32"/>
    </row>
    <row r="220" spans="1:16" ht="36.5" customHeight="1" x14ac:dyDescent="0.35">
      <c r="A220" s="27">
        <f t="shared" si="3"/>
        <v>217</v>
      </c>
      <c r="B220" s="39" t="s">
        <v>528</v>
      </c>
      <c r="C220" s="39" t="s">
        <v>630</v>
      </c>
      <c r="D220" s="27" t="s">
        <v>642</v>
      </c>
      <c r="E220" s="5" t="s">
        <v>19</v>
      </c>
      <c r="F220" s="82" t="s">
        <v>528</v>
      </c>
      <c r="G220" s="119" t="s">
        <v>631</v>
      </c>
      <c r="H220" s="120" t="s">
        <v>645</v>
      </c>
      <c r="I220" s="120" t="s">
        <v>646</v>
      </c>
      <c r="J220" s="121" t="s">
        <v>647</v>
      </c>
      <c r="K220" s="121" t="s">
        <v>648</v>
      </c>
      <c r="L220" s="77">
        <v>0</v>
      </c>
      <c r="M220" s="120" t="s">
        <v>649</v>
      </c>
      <c r="N220" s="76" t="s">
        <v>29</v>
      </c>
      <c r="O220" s="121" t="s">
        <v>226</v>
      </c>
      <c r="P220" s="121">
        <v>2026</v>
      </c>
    </row>
    <row r="221" spans="1:16" ht="44.5" customHeight="1" x14ac:dyDescent="0.35">
      <c r="A221" s="27">
        <f t="shared" si="3"/>
        <v>218</v>
      </c>
      <c r="B221" s="39" t="s">
        <v>528</v>
      </c>
      <c r="C221" s="26" t="s">
        <v>632</v>
      </c>
      <c r="D221" s="27" t="s">
        <v>633</v>
      </c>
      <c r="E221" s="5" t="s">
        <v>19</v>
      </c>
      <c r="F221" s="27" t="s">
        <v>528</v>
      </c>
      <c r="G221" s="55" t="s">
        <v>634</v>
      </c>
      <c r="H221" s="27" t="s">
        <v>156</v>
      </c>
      <c r="I221" s="27" t="s">
        <v>70</v>
      </c>
      <c r="J221" s="30" t="s">
        <v>639</v>
      </c>
      <c r="K221" s="69" t="s">
        <v>286</v>
      </c>
      <c r="L221" s="30" t="s">
        <v>640</v>
      </c>
      <c r="M221" s="27"/>
      <c r="N221" s="41" t="s">
        <v>29</v>
      </c>
      <c r="O221" s="27" t="s">
        <v>204</v>
      </c>
      <c r="P221" s="27"/>
    </row>
    <row r="222" spans="1:16" ht="14.25" customHeight="1" x14ac:dyDescent="0.35"/>
    <row r="223" spans="1:16" ht="14.25" customHeight="1" x14ac:dyDescent="0.35"/>
    <row r="224" spans="1:16"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sheetData>
  <autoFilter ref="A3:P221" xr:uid="{00000000-0009-0000-0000-000000000000}">
    <filterColumn colId="4">
      <filters blank="1">
        <filter val="Valid"/>
      </filters>
    </filterColumn>
  </autoFilter>
  <mergeCells count="1">
    <mergeCell ref="A2:M2"/>
  </mergeCells>
  <conditionalFormatting sqref="A4:I12 K4:P12 A13:P24 A26:P26 A27:C27 E27:P27 A28:I28 K28:P28 A29:P33 A34:I34 K34:P34 A35:P55 A56:I56 L56:P56 A57:P68 A69:C72 E69:P72 A73:A74 E73:F74 A75:C75 E75:P75 A77:C77 E77:P77 A78:I78 K78:P78 A79:P80 A81:I81 K81:P81 A82:P87 A89:P97 A101:P113 A117:P118 A121:P137 A142:K142 N142:P142 A143:P178 A186:P193 A198:P203 A207:E207 A209:P213 A214:L214 A215:I217 A218:P219">
    <cfRule type="expression" dxfId="15" priority="38">
      <formula>UPPER($E4)="SEMI-VOID"</formula>
    </cfRule>
  </conditionalFormatting>
  <conditionalFormatting sqref="A4:I12 K4:P12 A13:P24 A26:P26 A27:C27 E27:P27 A28:I28 K28:P28 A29:P33 A34:I34 K34:P34 A35:P55 A56:I56 L56:P56 A57:P68 A69:C72 E69:P72 A73:A74 E73:F74 A75:C75 E75:P75 A77:C77 E77:P77 A78:I78 K78:P78 A79:P80 A81:I81 K81:P81 A82:P118 A121:P137 A142:K142 N142:P142 A143:P206 A207:E207 A209:P213 A214:L214 A215:I217 A218:P219 A76:P76 A119:F119 A138:I138 A139 A140:I140 K140:O140 A141:P141 A208:F208 H208:P208 A220:G220 A221:P492">
    <cfRule type="expression" dxfId="14" priority="39">
      <formula>UPPER($E4)="VOID"</formula>
    </cfRule>
  </conditionalFormatting>
  <conditionalFormatting sqref="J4:J12">
    <cfRule type="expression" dxfId="13" priority="5">
      <formula>UPPER($E4)="SEMI-VOID"</formula>
    </cfRule>
    <cfRule type="expression" dxfId="12" priority="6">
      <formula>UPPER($E4)="VOID"</formula>
    </cfRule>
  </conditionalFormatting>
  <conditionalFormatting sqref="J28">
    <cfRule type="expression" dxfId="11" priority="17">
      <formula>UPPER($E28)="SEMI-VOID"</formula>
    </cfRule>
    <cfRule type="expression" dxfId="10" priority="18">
      <formula>UPPER($E28)="VOID"</formula>
    </cfRule>
  </conditionalFormatting>
  <conditionalFormatting sqref="J34">
    <cfRule type="expression" dxfId="9" priority="15">
      <formula>UPPER($E34)="SEMI-VOID"</formula>
    </cfRule>
    <cfRule type="expression" dxfId="8" priority="16">
      <formula>UPPER($E34)="VOID"</formula>
    </cfRule>
  </conditionalFormatting>
  <conditionalFormatting sqref="J78">
    <cfRule type="expression" dxfId="7" priority="9">
      <formula>UPPER($E78)="SEMI-VOID"</formula>
    </cfRule>
    <cfRule type="expression" dxfId="6" priority="10">
      <formula>UPPER($E78)="VOID"</formula>
    </cfRule>
  </conditionalFormatting>
  <conditionalFormatting sqref="J81">
    <cfRule type="expression" dxfId="5" priority="7">
      <formula>UPPER($E81)="SEMI-VOID"</formula>
    </cfRule>
    <cfRule type="expression" dxfId="4" priority="8">
      <formula>UPPER($E81)="VOID"</formula>
    </cfRule>
  </conditionalFormatting>
  <conditionalFormatting sqref="J56:K56">
    <cfRule type="expression" dxfId="3" priority="13">
      <formula>UPPER($E56)="SEMI-VOID"</formula>
    </cfRule>
    <cfRule type="expression" dxfId="2" priority="14">
      <formula>UPPER($E56)="VOID"</formula>
    </cfRule>
  </conditionalFormatting>
  <conditionalFormatting sqref="M207 P207">
    <cfRule type="expression" dxfId="1" priority="1">
      <formula>UPPER($E207)="SEMI-VOID"</formula>
    </cfRule>
    <cfRule type="expression" dxfId="0" priority="2">
      <formula>UPPER($E207)="VOID"</formula>
    </cfRule>
  </conditionalFormatting>
  <dataValidations count="2">
    <dataValidation type="list" allowBlank="1" showInputMessage="1" showErrorMessage="1" sqref="E3:E24 E140:E221 E121:E138 E26:E119" xr:uid="{00000000-0002-0000-0000-000001000000}">
      <formula1>"Valid,Void,Semi-void"</formula1>
      <formula2>0</formula2>
    </dataValidation>
    <dataValidation type="list" allowBlank="1" showInputMessage="1" showErrorMessage="1" sqref="E204:E206 E208 E194:E197 E179:E185 E220:E371 E114:E116 E119 E138 E140:E141" xr:uid="{00000000-0002-0000-0000-000000000000}">
      <formula1>"Valid,Void"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53B8-B3FE-4AAF-9086-9614219DCF87}">
  <dimension ref="A1:I69"/>
  <sheetViews>
    <sheetView zoomScale="77" workbookViewId="0">
      <selection activeCell="G4" sqref="G4"/>
    </sheetView>
  </sheetViews>
  <sheetFormatPr defaultRowHeight="14.5" x14ac:dyDescent="0.35"/>
  <cols>
    <col min="1" max="1" width="4.7265625" customWidth="1"/>
    <col min="2" max="2" width="22.1796875" bestFit="1" customWidth="1"/>
    <col min="3" max="3" width="14.08984375" bestFit="1" customWidth="1"/>
    <col min="4" max="4" width="20.453125" bestFit="1" customWidth="1"/>
    <col min="5" max="5" width="27.1796875" bestFit="1" customWidth="1"/>
    <col min="6" max="6" width="24.26953125" bestFit="1" customWidth="1"/>
    <col min="7" max="7" width="31" bestFit="1" customWidth="1"/>
    <col min="8" max="8" width="20.90625" bestFit="1" customWidth="1"/>
  </cols>
  <sheetData>
    <row r="1" spans="1:9" x14ac:dyDescent="0.35">
      <c r="C1" s="123"/>
      <c r="D1" s="124"/>
      <c r="E1" s="124"/>
      <c r="F1" s="124"/>
      <c r="G1" s="124"/>
      <c r="H1" s="124"/>
    </row>
    <row r="2" spans="1:9" x14ac:dyDescent="0.35">
      <c r="C2" s="125" t="s">
        <v>697</v>
      </c>
      <c r="D2" s="125"/>
      <c r="E2" s="124"/>
      <c r="F2" s="124"/>
      <c r="G2" s="124"/>
      <c r="H2" s="124"/>
    </row>
    <row r="3" spans="1:9" x14ac:dyDescent="0.35">
      <c r="C3" s="125"/>
      <c r="D3" s="125"/>
      <c r="E3" s="124"/>
      <c r="F3" s="124"/>
      <c r="G3" s="124"/>
      <c r="H3" s="124"/>
    </row>
    <row r="4" spans="1:9" x14ac:dyDescent="0.35">
      <c r="C4" s="123"/>
      <c r="D4" s="124"/>
      <c r="E4" s="124"/>
      <c r="F4" s="124"/>
      <c r="G4" s="124"/>
      <c r="H4" s="124"/>
    </row>
    <row r="5" spans="1:9" x14ac:dyDescent="0.35">
      <c r="C5" s="123"/>
      <c r="D5" s="124"/>
      <c r="E5" s="124"/>
      <c r="F5" s="124"/>
      <c r="G5" s="124"/>
      <c r="H5" s="124"/>
    </row>
    <row r="6" spans="1:9" ht="16" x14ac:dyDescent="0.4">
      <c r="A6" s="126" t="s">
        <v>0</v>
      </c>
      <c r="B6" s="126" t="s">
        <v>698</v>
      </c>
      <c r="C6" s="127" t="s">
        <v>699</v>
      </c>
      <c r="D6" s="128" t="s">
        <v>700</v>
      </c>
      <c r="E6" s="128" t="s">
        <v>701</v>
      </c>
      <c r="F6" s="128" t="s">
        <v>702</v>
      </c>
      <c r="G6" s="128" t="s">
        <v>703</v>
      </c>
      <c r="H6" s="128" t="s">
        <v>704</v>
      </c>
      <c r="I6" s="129"/>
    </row>
    <row r="7" spans="1:9" ht="26" x14ac:dyDescent="0.6">
      <c r="A7" s="130"/>
      <c r="B7" s="131"/>
      <c r="C7" s="132" t="s">
        <v>705</v>
      </c>
      <c r="D7" s="133">
        <v>6</v>
      </c>
      <c r="E7" s="133"/>
      <c r="F7" s="133">
        <v>0</v>
      </c>
      <c r="G7" s="133">
        <v>0</v>
      </c>
      <c r="H7" s="133">
        <v>6</v>
      </c>
    </row>
    <row r="8" spans="1:9" x14ac:dyDescent="0.35">
      <c r="A8" s="134">
        <v>1</v>
      </c>
      <c r="B8" s="134" t="s">
        <v>706</v>
      </c>
      <c r="C8" s="135"/>
      <c r="D8" s="136"/>
      <c r="E8" s="136" t="s">
        <v>707</v>
      </c>
      <c r="F8" s="136"/>
      <c r="G8" s="136"/>
      <c r="H8" s="136"/>
    </row>
    <row r="9" spans="1:9" x14ac:dyDescent="0.35">
      <c r="A9" s="134">
        <v>2</v>
      </c>
      <c r="B9" s="134" t="s">
        <v>708</v>
      </c>
      <c r="C9" s="137"/>
      <c r="D9" s="136">
        <v>0</v>
      </c>
      <c r="E9" s="136" t="s">
        <v>707</v>
      </c>
      <c r="F9" s="136"/>
      <c r="G9" s="136"/>
      <c r="H9" s="136"/>
    </row>
    <row r="10" spans="1:9" x14ac:dyDescent="0.35">
      <c r="A10" s="138"/>
      <c r="B10" s="139"/>
      <c r="C10" s="140" t="s">
        <v>709</v>
      </c>
      <c r="D10" s="141">
        <v>19</v>
      </c>
      <c r="E10" s="141"/>
      <c r="F10" s="141">
        <v>0</v>
      </c>
      <c r="G10" s="141">
        <v>8</v>
      </c>
      <c r="H10" s="141">
        <v>11</v>
      </c>
    </row>
    <row r="11" spans="1:9" x14ac:dyDescent="0.35">
      <c r="A11" s="134">
        <v>3</v>
      </c>
      <c r="B11" s="134" t="s">
        <v>710</v>
      </c>
      <c r="C11" s="142"/>
      <c r="D11" s="136" t="s">
        <v>711</v>
      </c>
      <c r="E11" s="136" t="s">
        <v>707</v>
      </c>
      <c r="F11" s="136"/>
      <c r="G11" s="136"/>
      <c r="H11" s="136"/>
    </row>
    <row r="12" spans="1:9" x14ac:dyDescent="0.35">
      <c r="A12" s="134">
        <v>4</v>
      </c>
      <c r="B12" s="134" t="s">
        <v>712</v>
      </c>
      <c r="C12" s="143"/>
      <c r="D12" s="136" t="s">
        <v>711</v>
      </c>
      <c r="E12" s="136" t="s">
        <v>707</v>
      </c>
      <c r="F12" s="136"/>
      <c r="G12" s="136"/>
      <c r="H12" s="136"/>
    </row>
    <row r="13" spans="1:9" x14ac:dyDescent="0.35">
      <c r="A13" s="138"/>
      <c r="B13" s="139"/>
      <c r="C13" s="144" t="s">
        <v>713</v>
      </c>
      <c r="D13" s="141">
        <v>69</v>
      </c>
      <c r="E13" s="141"/>
      <c r="F13" s="141">
        <v>0</v>
      </c>
      <c r="G13" s="141">
        <v>10</v>
      </c>
      <c r="H13" s="141">
        <v>59</v>
      </c>
    </row>
    <row r="14" spans="1:9" x14ac:dyDescent="0.35">
      <c r="A14" s="134">
        <v>5</v>
      </c>
      <c r="B14" s="134" t="s">
        <v>714</v>
      </c>
      <c r="C14" s="145"/>
      <c r="D14" s="136">
        <v>0</v>
      </c>
      <c r="E14" s="136" t="s">
        <v>707</v>
      </c>
      <c r="F14" s="136"/>
      <c r="G14" s="136"/>
      <c r="H14" s="136"/>
    </row>
    <row r="15" spans="1:9" x14ac:dyDescent="0.35">
      <c r="A15" s="134">
        <v>6</v>
      </c>
      <c r="B15" s="134" t="s">
        <v>715</v>
      </c>
      <c r="C15" s="145"/>
      <c r="D15" s="136">
        <v>13</v>
      </c>
      <c r="E15" s="136" t="s">
        <v>716</v>
      </c>
      <c r="F15" s="136"/>
      <c r="G15" s="136"/>
      <c r="H15" s="136"/>
    </row>
    <row r="16" spans="1:9" x14ac:dyDescent="0.35">
      <c r="A16" s="134">
        <v>7</v>
      </c>
      <c r="B16" s="134" t="s">
        <v>717</v>
      </c>
      <c r="C16" s="145"/>
      <c r="D16" s="136">
        <v>0</v>
      </c>
      <c r="E16" s="136" t="s">
        <v>707</v>
      </c>
      <c r="F16" s="136"/>
      <c r="G16" s="136"/>
      <c r="H16" s="136"/>
    </row>
    <row r="17" spans="1:8" x14ac:dyDescent="0.35">
      <c r="A17" s="134">
        <v>8</v>
      </c>
      <c r="B17" s="134" t="s">
        <v>718</v>
      </c>
      <c r="C17" s="145"/>
      <c r="D17" s="136">
        <v>9</v>
      </c>
      <c r="E17" s="136" t="s">
        <v>716</v>
      </c>
      <c r="F17" s="136"/>
      <c r="G17" s="136"/>
      <c r="H17" s="136"/>
    </row>
    <row r="18" spans="1:8" x14ac:dyDescent="0.35">
      <c r="A18" s="134">
        <v>9</v>
      </c>
      <c r="B18" s="134" t="s">
        <v>719</v>
      </c>
      <c r="C18" s="145"/>
      <c r="D18" s="136" t="s">
        <v>510</v>
      </c>
      <c r="E18" s="136"/>
      <c r="F18" s="136"/>
      <c r="G18" s="136"/>
      <c r="H18" s="136"/>
    </row>
    <row r="19" spans="1:8" x14ac:dyDescent="0.35">
      <c r="A19" s="134">
        <v>10</v>
      </c>
      <c r="B19" s="134" t="s">
        <v>720</v>
      </c>
      <c r="C19" s="145"/>
      <c r="D19" s="136">
        <v>7</v>
      </c>
      <c r="E19" s="136" t="s">
        <v>716</v>
      </c>
      <c r="F19" s="136"/>
      <c r="G19" s="136"/>
      <c r="H19" s="136"/>
    </row>
    <row r="20" spans="1:8" x14ac:dyDescent="0.35">
      <c r="A20" s="134">
        <v>11</v>
      </c>
      <c r="B20" s="134" t="s">
        <v>721</v>
      </c>
      <c r="C20" s="145"/>
      <c r="D20" s="136">
        <v>9</v>
      </c>
      <c r="E20" s="136" t="s">
        <v>716</v>
      </c>
      <c r="F20" s="136"/>
      <c r="G20" s="136"/>
      <c r="H20" s="136"/>
    </row>
    <row r="21" spans="1:8" x14ac:dyDescent="0.35">
      <c r="A21" s="134">
        <v>12</v>
      </c>
      <c r="B21" s="134" t="s">
        <v>722</v>
      </c>
      <c r="C21" s="146"/>
      <c r="D21" s="136">
        <v>0</v>
      </c>
      <c r="E21" s="136" t="s">
        <v>707</v>
      </c>
      <c r="F21" s="136"/>
      <c r="G21" s="136"/>
      <c r="H21" s="136"/>
    </row>
    <row r="22" spans="1:8" x14ac:dyDescent="0.35">
      <c r="A22" s="138"/>
      <c r="B22" s="139"/>
      <c r="C22" s="147" t="s">
        <v>723</v>
      </c>
      <c r="D22" s="141">
        <v>11</v>
      </c>
      <c r="E22" s="141"/>
      <c r="F22" s="141">
        <v>0</v>
      </c>
      <c r="G22" s="141">
        <v>0</v>
      </c>
      <c r="H22" s="141">
        <v>11</v>
      </c>
    </row>
    <row r="23" spans="1:8" x14ac:dyDescent="0.35">
      <c r="A23" s="134">
        <v>13</v>
      </c>
      <c r="B23" s="134" t="s">
        <v>238</v>
      </c>
      <c r="C23" s="148"/>
      <c r="D23" s="136">
        <v>5</v>
      </c>
      <c r="E23" s="136" t="s">
        <v>716</v>
      </c>
      <c r="F23" s="136"/>
      <c r="G23" s="136"/>
      <c r="H23" s="136"/>
    </row>
    <row r="24" spans="1:8" x14ac:dyDescent="0.35">
      <c r="A24" s="134">
        <v>14</v>
      </c>
      <c r="B24" s="134" t="s">
        <v>724</v>
      </c>
      <c r="C24" s="149"/>
      <c r="D24" s="136">
        <v>0</v>
      </c>
      <c r="E24" s="136" t="s">
        <v>707</v>
      </c>
      <c r="F24" s="136"/>
      <c r="G24" s="136"/>
      <c r="H24" s="136"/>
    </row>
    <row r="25" spans="1:8" x14ac:dyDescent="0.35">
      <c r="A25" s="138"/>
      <c r="B25" s="139"/>
      <c r="C25" s="150" t="s">
        <v>725</v>
      </c>
      <c r="D25" s="141">
        <v>17</v>
      </c>
      <c r="E25" s="141"/>
      <c r="F25" s="141">
        <v>0</v>
      </c>
      <c r="G25" s="141">
        <v>0</v>
      </c>
      <c r="H25" s="141">
        <v>17</v>
      </c>
    </row>
    <row r="26" spans="1:8" x14ac:dyDescent="0.35">
      <c r="A26" s="134">
        <v>15</v>
      </c>
      <c r="B26" s="134" t="s">
        <v>726</v>
      </c>
      <c r="C26" s="151"/>
      <c r="D26" s="136">
        <v>13</v>
      </c>
      <c r="E26" s="136" t="s">
        <v>716</v>
      </c>
      <c r="F26" s="136"/>
      <c r="G26" s="136"/>
      <c r="H26" s="136"/>
    </row>
    <row r="27" spans="1:8" x14ac:dyDescent="0.35">
      <c r="A27" s="134">
        <v>16</v>
      </c>
      <c r="B27" s="134" t="s">
        <v>727</v>
      </c>
      <c r="C27" s="151"/>
      <c r="D27" s="136">
        <v>0</v>
      </c>
      <c r="E27" s="136" t="s">
        <v>707</v>
      </c>
      <c r="F27" s="136"/>
      <c r="G27" s="136"/>
      <c r="H27" s="136"/>
    </row>
    <row r="28" spans="1:8" x14ac:dyDescent="0.35">
      <c r="A28" s="134">
        <v>17</v>
      </c>
      <c r="B28" s="134" t="s">
        <v>728</v>
      </c>
      <c r="C28" s="152"/>
      <c r="D28" s="136">
        <v>0</v>
      </c>
      <c r="E28" s="136" t="s">
        <v>707</v>
      </c>
      <c r="F28" s="136"/>
      <c r="G28" s="136"/>
      <c r="H28" s="136"/>
    </row>
    <row r="29" spans="1:8" x14ac:dyDescent="0.35">
      <c r="A29" s="138"/>
      <c r="B29" s="139"/>
      <c r="C29" s="153" t="s">
        <v>729</v>
      </c>
      <c r="D29" s="141">
        <v>43</v>
      </c>
      <c r="E29" s="141"/>
      <c r="F29" s="141">
        <v>2</v>
      </c>
      <c r="G29" s="141">
        <v>5</v>
      </c>
      <c r="H29" s="141">
        <v>36</v>
      </c>
    </row>
    <row r="30" spans="1:8" x14ac:dyDescent="0.35">
      <c r="A30" s="134">
        <v>18</v>
      </c>
      <c r="B30" s="134" t="s">
        <v>730</v>
      </c>
      <c r="C30" s="154"/>
      <c r="D30" s="136" t="s">
        <v>731</v>
      </c>
      <c r="E30" s="136" t="s">
        <v>707</v>
      </c>
      <c r="F30" s="136"/>
      <c r="G30" s="136"/>
      <c r="H30" s="136"/>
    </row>
    <row r="31" spans="1:8" x14ac:dyDescent="0.35">
      <c r="A31" s="134">
        <v>19</v>
      </c>
      <c r="B31" s="134" t="s">
        <v>467</v>
      </c>
      <c r="C31" s="154"/>
      <c r="D31" s="136">
        <v>1</v>
      </c>
      <c r="E31" s="136" t="s">
        <v>716</v>
      </c>
      <c r="F31" s="136"/>
      <c r="G31" s="136"/>
      <c r="H31" s="136"/>
    </row>
    <row r="32" spans="1:8" x14ac:dyDescent="0.35">
      <c r="A32" s="134">
        <v>20</v>
      </c>
      <c r="B32" s="134" t="s">
        <v>459</v>
      </c>
      <c r="C32" s="154"/>
      <c r="D32" s="136">
        <v>4</v>
      </c>
      <c r="E32" s="136" t="s">
        <v>716</v>
      </c>
      <c r="F32" s="136"/>
      <c r="G32" s="136"/>
      <c r="H32" s="136"/>
    </row>
    <row r="33" spans="1:8" x14ac:dyDescent="0.35">
      <c r="A33" s="134">
        <v>21</v>
      </c>
      <c r="B33" s="134" t="s">
        <v>732</v>
      </c>
      <c r="C33" s="154"/>
      <c r="D33" s="136">
        <v>0</v>
      </c>
      <c r="E33" s="136" t="s">
        <v>707</v>
      </c>
      <c r="F33" s="136"/>
      <c r="G33" s="136"/>
      <c r="H33" s="136"/>
    </row>
    <row r="34" spans="1:8" x14ac:dyDescent="0.35">
      <c r="A34" s="134">
        <v>22</v>
      </c>
      <c r="B34" s="134" t="s">
        <v>733</v>
      </c>
      <c r="C34" s="154"/>
      <c r="D34" s="136">
        <v>23</v>
      </c>
      <c r="E34" s="136" t="s">
        <v>716</v>
      </c>
      <c r="F34" s="136"/>
      <c r="G34" s="136"/>
      <c r="H34" s="136"/>
    </row>
    <row r="35" spans="1:8" x14ac:dyDescent="0.35">
      <c r="A35" s="134">
        <v>23</v>
      </c>
      <c r="B35" s="134" t="s">
        <v>734</v>
      </c>
      <c r="C35" s="155"/>
      <c r="D35" s="136">
        <v>0</v>
      </c>
      <c r="E35" s="136" t="s">
        <v>707</v>
      </c>
      <c r="F35" s="136"/>
      <c r="G35" s="136"/>
      <c r="H35" s="136"/>
    </row>
    <row r="36" spans="1:8" x14ac:dyDescent="0.35">
      <c r="A36" s="138"/>
      <c r="B36" s="139"/>
      <c r="C36" s="156" t="s">
        <v>735</v>
      </c>
      <c r="D36" s="141">
        <v>2</v>
      </c>
      <c r="E36" s="141"/>
      <c r="F36" s="141">
        <v>0</v>
      </c>
      <c r="G36" s="141">
        <v>0</v>
      </c>
      <c r="H36" s="141">
        <v>2</v>
      </c>
    </row>
    <row r="37" spans="1:8" x14ac:dyDescent="0.35">
      <c r="A37" s="134">
        <v>24</v>
      </c>
      <c r="B37" s="134" t="s">
        <v>736</v>
      </c>
      <c r="C37" s="157"/>
      <c r="D37" s="136">
        <v>0</v>
      </c>
      <c r="E37" s="136" t="s">
        <v>707</v>
      </c>
      <c r="F37" s="136"/>
      <c r="G37" s="136"/>
      <c r="H37" s="136"/>
    </row>
    <row r="38" spans="1:8" x14ac:dyDescent="0.35">
      <c r="A38" s="134">
        <v>25</v>
      </c>
      <c r="B38" s="134" t="s">
        <v>737</v>
      </c>
      <c r="C38" s="158"/>
      <c r="D38" s="136">
        <v>0</v>
      </c>
      <c r="E38" s="136" t="s">
        <v>707</v>
      </c>
      <c r="F38" s="136"/>
      <c r="G38" s="136"/>
      <c r="H38" s="136"/>
    </row>
    <row r="39" spans="1:8" x14ac:dyDescent="0.35">
      <c r="A39" s="138"/>
      <c r="B39" s="139"/>
      <c r="C39" s="159" t="s">
        <v>738</v>
      </c>
      <c r="D39" s="141">
        <v>3</v>
      </c>
      <c r="E39" s="141"/>
      <c r="F39" s="141">
        <v>0</v>
      </c>
      <c r="G39" s="141">
        <v>0</v>
      </c>
      <c r="H39" s="141">
        <v>3</v>
      </c>
    </row>
    <row r="40" spans="1:8" x14ac:dyDescent="0.35">
      <c r="A40" s="134">
        <v>26</v>
      </c>
      <c r="B40" s="134" t="s">
        <v>739</v>
      </c>
      <c r="C40" s="160"/>
      <c r="D40" s="136">
        <v>0</v>
      </c>
      <c r="E40" s="136" t="s">
        <v>707</v>
      </c>
      <c r="F40" s="136"/>
      <c r="G40" s="136"/>
      <c r="H40" s="136"/>
    </row>
    <row r="41" spans="1:8" x14ac:dyDescent="0.35">
      <c r="A41" s="134">
        <v>27</v>
      </c>
      <c r="B41" s="134" t="s">
        <v>740</v>
      </c>
      <c r="C41" s="161"/>
      <c r="D41" s="136">
        <v>0</v>
      </c>
      <c r="E41" s="136" t="s">
        <v>707</v>
      </c>
      <c r="F41" s="136"/>
      <c r="G41" s="136"/>
      <c r="H41" s="136"/>
    </row>
    <row r="42" spans="1:8" x14ac:dyDescent="0.35">
      <c r="A42" s="162"/>
      <c r="B42" s="163"/>
      <c r="C42" s="164" t="s">
        <v>741</v>
      </c>
      <c r="D42" s="141">
        <v>3</v>
      </c>
      <c r="E42" s="141"/>
      <c r="F42" s="141">
        <v>3</v>
      </c>
      <c r="G42" s="141">
        <v>0</v>
      </c>
      <c r="H42" s="141">
        <v>0</v>
      </c>
    </row>
    <row r="43" spans="1:8" x14ac:dyDescent="0.35">
      <c r="A43" s="134">
        <v>28</v>
      </c>
      <c r="B43" s="134" t="s">
        <v>742</v>
      </c>
      <c r="C43" s="165"/>
      <c r="D43" s="136">
        <v>0</v>
      </c>
      <c r="E43" s="136" t="s">
        <v>707</v>
      </c>
      <c r="F43" s="136"/>
      <c r="G43" s="136"/>
      <c r="H43" s="136"/>
    </row>
    <row r="44" spans="1:8" x14ac:dyDescent="0.35">
      <c r="A44" s="134">
        <v>29</v>
      </c>
      <c r="B44" s="134" t="s">
        <v>743</v>
      </c>
      <c r="C44" s="165"/>
      <c r="D44" s="136">
        <v>0</v>
      </c>
      <c r="E44" s="136" t="s">
        <v>707</v>
      </c>
      <c r="F44" s="136"/>
      <c r="G44" s="136"/>
      <c r="H44" s="136"/>
    </row>
    <row r="45" spans="1:8" x14ac:dyDescent="0.35">
      <c r="A45" s="134">
        <v>30</v>
      </c>
      <c r="B45" s="134" t="s">
        <v>744</v>
      </c>
      <c r="C45" s="166"/>
      <c r="D45" s="136">
        <v>0</v>
      </c>
      <c r="E45" s="136" t="s">
        <v>707</v>
      </c>
      <c r="F45" s="136"/>
      <c r="G45" s="136"/>
      <c r="H45" s="136"/>
    </row>
    <row r="46" spans="1:8" x14ac:dyDescent="0.35">
      <c r="A46" s="138"/>
      <c r="B46" s="139"/>
      <c r="C46" s="167" t="s">
        <v>745</v>
      </c>
      <c r="D46" s="141">
        <v>13</v>
      </c>
      <c r="E46" s="141"/>
      <c r="F46" s="141">
        <v>7</v>
      </c>
      <c r="G46" s="141">
        <v>1</v>
      </c>
      <c r="H46" s="141">
        <v>5</v>
      </c>
    </row>
    <row r="47" spans="1:8" x14ac:dyDescent="0.35">
      <c r="A47" s="134">
        <v>31</v>
      </c>
      <c r="B47" s="134" t="s">
        <v>746</v>
      </c>
      <c r="C47" s="168"/>
      <c r="D47" s="136">
        <v>3</v>
      </c>
      <c r="E47" s="136" t="s">
        <v>716</v>
      </c>
      <c r="F47" s="136"/>
      <c r="G47" s="136"/>
      <c r="H47" s="136"/>
    </row>
    <row r="48" spans="1:8" x14ac:dyDescent="0.35">
      <c r="A48" s="134">
        <v>32</v>
      </c>
      <c r="B48" s="134" t="s">
        <v>747</v>
      </c>
      <c r="C48" s="168"/>
      <c r="D48" s="136">
        <v>3</v>
      </c>
      <c r="E48" s="136" t="s">
        <v>716</v>
      </c>
      <c r="F48" s="136"/>
      <c r="G48" s="136"/>
      <c r="H48" s="136"/>
    </row>
    <row r="49" spans="1:8" x14ac:dyDescent="0.35">
      <c r="A49" s="134">
        <v>33</v>
      </c>
      <c r="B49" s="134" t="s">
        <v>748</v>
      </c>
      <c r="C49" s="169"/>
      <c r="D49" s="136">
        <v>0</v>
      </c>
      <c r="E49" s="136" t="s">
        <v>707</v>
      </c>
      <c r="F49" s="136"/>
      <c r="G49" s="136"/>
      <c r="H49" s="136"/>
    </row>
    <row r="50" spans="1:8" x14ac:dyDescent="0.35">
      <c r="A50" s="138"/>
      <c r="B50" s="139"/>
      <c r="C50" s="170" t="s">
        <v>749</v>
      </c>
      <c r="D50" s="141">
        <v>1</v>
      </c>
      <c r="E50" s="141"/>
      <c r="F50" s="141">
        <v>0</v>
      </c>
      <c r="G50" s="141">
        <v>0</v>
      </c>
      <c r="H50" s="141">
        <v>1</v>
      </c>
    </row>
    <row r="51" spans="1:8" x14ac:dyDescent="0.35">
      <c r="A51" s="134">
        <v>34</v>
      </c>
      <c r="B51" s="134" t="s">
        <v>750</v>
      </c>
      <c r="C51" s="171"/>
      <c r="D51" s="136">
        <v>1</v>
      </c>
      <c r="E51" s="136" t="s">
        <v>716</v>
      </c>
      <c r="F51" s="136"/>
      <c r="G51" s="136"/>
      <c r="H51" s="136"/>
    </row>
    <row r="52" spans="1:8" x14ac:dyDescent="0.35">
      <c r="A52" s="138"/>
      <c r="B52" s="139"/>
      <c r="C52" s="172" t="s">
        <v>751</v>
      </c>
      <c r="D52" s="141">
        <v>2</v>
      </c>
      <c r="E52" s="141"/>
      <c r="F52" s="141">
        <v>0</v>
      </c>
      <c r="G52" s="141">
        <v>0</v>
      </c>
      <c r="H52" s="141">
        <v>2</v>
      </c>
    </row>
    <row r="53" spans="1:8" x14ac:dyDescent="0.35">
      <c r="A53" s="134">
        <v>35</v>
      </c>
      <c r="B53" s="134" t="s">
        <v>752</v>
      </c>
      <c r="C53" s="173"/>
      <c r="D53" s="136">
        <v>1</v>
      </c>
      <c r="E53" s="136" t="s">
        <v>716</v>
      </c>
      <c r="F53" s="136"/>
      <c r="G53" s="136"/>
      <c r="H53" s="136"/>
    </row>
    <row r="54" spans="1:8" x14ac:dyDescent="0.35">
      <c r="A54" s="134">
        <v>36</v>
      </c>
      <c r="B54" s="134" t="s">
        <v>753</v>
      </c>
      <c r="C54" s="174"/>
      <c r="D54" s="136">
        <v>0</v>
      </c>
      <c r="E54" s="136" t="s">
        <v>707</v>
      </c>
      <c r="F54" s="136"/>
      <c r="G54" s="136"/>
      <c r="H54" s="136"/>
    </row>
    <row r="55" spans="1:8" x14ac:dyDescent="0.35">
      <c r="A55" s="138"/>
      <c r="B55" s="139"/>
      <c r="C55" s="175" t="s">
        <v>754</v>
      </c>
      <c r="D55" s="141">
        <v>4</v>
      </c>
      <c r="E55" s="141"/>
      <c r="F55" s="141">
        <v>1</v>
      </c>
      <c r="G55" s="141">
        <v>0</v>
      </c>
      <c r="H55" s="141">
        <v>3</v>
      </c>
    </row>
    <row r="56" spans="1:8" x14ac:dyDescent="0.35">
      <c r="A56" s="134">
        <v>37</v>
      </c>
      <c r="B56" s="134" t="s">
        <v>755</v>
      </c>
      <c r="C56" s="176"/>
      <c r="D56" s="136">
        <v>1</v>
      </c>
      <c r="E56" s="136" t="s">
        <v>716</v>
      </c>
      <c r="F56" s="136"/>
      <c r="G56" s="136"/>
      <c r="H56" s="136"/>
    </row>
    <row r="57" spans="1:8" x14ac:dyDescent="0.35">
      <c r="A57" s="134">
        <v>38</v>
      </c>
      <c r="B57" s="134" t="s">
        <v>756</v>
      </c>
      <c r="C57" s="176"/>
      <c r="D57" s="136">
        <v>0</v>
      </c>
      <c r="E57" s="136" t="s">
        <v>707</v>
      </c>
      <c r="F57" s="136"/>
      <c r="G57" s="136"/>
      <c r="H57" s="136"/>
    </row>
    <row r="58" spans="1:8" x14ac:dyDescent="0.35">
      <c r="A58" s="134">
        <v>39</v>
      </c>
      <c r="B58" s="134" t="s">
        <v>757</v>
      </c>
      <c r="C58" s="176"/>
      <c r="D58" s="136">
        <v>0</v>
      </c>
      <c r="E58" s="136" t="s">
        <v>707</v>
      </c>
      <c r="F58" s="136"/>
      <c r="G58" s="136"/>
      <c r="H58" s="136"/>
    </row>
    <row r="59" spans="1:8" x14ac:dyDescent="0.35">
      <c r="A59" s="134">
        <v>40</v>
      </c>
      <c r="B59" s="134" t="s">
        <v>758</v>
      </c>
      <c r="C59" s="177"/>
      <c r="D59" s="136">
        <v>3</v>
      </c>
      <c r="E59" s="136" t="s">
        <v>716</v>
      </c>
      <c r="F59" s="136"/>
      <c r="G59" s="136"/>
      <c r="H59" s="136"/>
    </row>
    <row r="60" spans="1:8" x14ac:dyDescent="0.35">
      <c r="A60" s="138"/>
      <c r="B60" s="139"/>
      <c r="C60" s="178" t="s">
        <v>759</v>
      </c>
      <c r="D60" s="141">
        <v>12</v>
      </c>
      <c r="E60" s="141"/>
      <c r="F60" s="141">
        <v>0</v>
      </c>
      <c r="G60" s="141">
        <v>2</v>
      </c>
      <c r="H60" s="141">
        <v>10</v>
      </c>
    </row>
    <row r="61" spans="1:8" x14ac:dyDescent="0.35">
      <c r="A61" s="134">
        <v>41</v>
      </c>
      <c r="B61" s="134" t="s">
        <v>760</v>
      </c>
      <c r="C61" s="179"/>
      <c r="D61" s="136">
        <v>0</v>
      </c>
      <c r="E61" s="136" t="s">
        <v>707</v>
      </c>
      <c r="F61" s="136"/>
      <c r="G61" s="136"/>
      <c r="H61" s="136"/>
    </row>
    <row r="62" spans="1:8" x14ac:dyDescent="0.35">
      <c r="A62" s="134">
        <v>42</v>
      </c>
      <c r="B62" s="134" t="s">
        <v>761</v>
      </c>
      <c r="C62" s="179"/>
      <c r="D62" s="136">
        <v>2</v>
      </c>
      <c r="E62" s="136" t="s">
        <v>716</v>
      </c>
      <c r="F62" s="136"/>
      <c r="G62" s="136"/>
      <c r="H62" s="136"/>
    </row>
    <row r="63" spans="1:8" x14ac:dyDescent="0.35">
      <c r="A63" s="134">
        <v>43</v>
      </c>
      <c r="B63" s="134" t="s">
        <v>762</v>
      </c>
      <c r="C63" s="179"/>
      <c r="D63" s="136">
        <v>0</v>
      </c>
      <c r="E63" s="136" t="s">
        <v>707</v>
      </c>
      <c r="F63" s="136"/>
      <c r="G63" s="136"/>
      <c r="H63" s="136"/>
    </row>
    <row r="64" spans="1:8" x14ac:dyDescent="0.35">
      <c r="A64" s="134">
        <v>44</v>
      </c>
      <c r="B64" s="134" t="s">
        <v>763</v>
      </c>
      <c r="C64" s="180"/>
      <c r="D64" s="136">
        <v>0</v>
      </c>
      <c r="E64" s="136" t="s">
        <v>707</v>
      </c>
      <c r="F64" s="136"/>
      <c r="G64" s="136"/>
      <c r="H64" s="136"/>
    </row>
    <row r="65" spans="1:8" x14ac:dyDescent="0.35">
      <c r="A65" s="138"/>
      <c r="B65" s="139"/>
      <c r="C65" s="181" t="s">
        <v>764</v>
      </c>
      <c r="D65" s="141">
        <v>9</v>
      </c>
      <c r="E65" s="141"/>
      <c r="F65" s="141">
        <v>0</v>
      </c>
      <c r="G65" s="141">
        <v>5</v>
      </c>
      <c r="H65" s="141">
        <v>4</v>
      </c>
    </row>
    <row r="66" spans="1:8" x14ac:dyDescent="0.35">
      <c r="A66" s="134">
        <v>45</v>
      </c>
      <c r="B66" s="134" t="s">
        <v>765</v>
      </c>
      <c r="C66" s="182"/>
      <c r="D66" s="136">
        <v>0</v>
      </c>
      <c r="E66" s="136" t="s">
        <v>707</v>
      </c>
      <c r="F66" s="136"/>
      <c r="G66" s="136"/>
      <c r="H66" s="136"/>
    </row>
    <row r="67" spans="1:8" x14ac:dyDescent="0.35">
      <c r="A67" s="134">
        <v>46</v>
      </c>
      <c r="B67" s="134" t="s">
        <v>766</v>
      </c>
      <c r="C67" s="183"/>
      <c r="D67" s="136">
        <v>6</v>
      </c>
      <c r="E67" s="136" t="s">
        <v>716</v>
      </c>
      <c r="F67" s="136"/>
      <c r="G67" s="136"/>
      <c r="H67" s="136"/>
    </row>
    <row r="68" spans="1:8" x14ac:dyDescent="0.35">
      <c r="C68" s="123"/>
      <c r="D68" s="124"/>
      <c r="E68" s="124"/>
      <c r="F68" s="124"/>
      <c r="G68" s="124"/>
      <c r="H68" s="124"/>
    </row>
    <row r="69" spans="1:8" x14ac:dyDescent="0.35">
      <c r="C69" s="123"/>
      <c r="D69" s="124"/>
      <c r="E69" s="124"/>
      <c r="F69" s="124"/>
      <c r="G69" s="124"/>
      <c r="H69" s="124"/>
    </row>
  </sheetData>
  <mergeCells count="30">
    <mergeCell ref="A60:B60"/>
    <mergeCell ref="C60:C64"/>
    <mergeCell ref="A65:B65"/>
    <mergeCell ref="C65:C67"/>
    <mergeCell ref="A50:B50"/>
    <mergeCell ref="C50:C51"/>
    <mergeCell ref="A52:B52"/>
    <mergeCell ref="C52:C54"/>
    <mergeCell ref="A55:B55"/>
    <mergeCell ref="C55:C59"/>
    <mergeCell ref="A36:B36"/>
    <mergeCell ref="C36:C38"/>
    <mergeCell ref="A39:B39"/>
    <mergeCell ref="C39:C41"/>
    <mergeCell ref="C42:C45"/>
    <mergeCell ref="A46:B46"/>
    <mergeCell ref="C46:C49"/>
    <mergeCell ref="A22:B22"/>
    <mergeCell ref="C22:C24"/>
    <mergeCell ref="A25:B25"/>
    <mergeCell ref="C25:C28"/>
    <mergeCell ref="A29:B29"/>
    <mergeCell ref="C29:C35"/>
    <mergeCell ref="C2:D3"/>
    <mergeCell ref="A7:B7"/>
    <mergeCell ref="C7:C9"/>
    <mergeCell ref="A10:B10"/>
    <mergeCell ref="C10:C12"/>
    <mergeCell ref="A13:B13"/>
    <mergeCell ref="C13: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Collection Template</vt:lpstr>
      <vt:lpstr>GAP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The Office</cp:lastModifiedBy>
  <cp:revision>0</cp:revision>
  <dcterms:created xsi:type="dcterms:W3CDTF">2026-09-15T14:07:29Z</dcterms:created>
  <dcterms:modified xsi:type="dcterms:W3CDTF">2026-10-02T12:44:20Z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86e226-cfd0-4c2d-b2ff-bd9be0eaa4b4_Enabled">
    <vt:lpwstr>true</vt:lpwstr>
  </property>
  <property fmtid="{D5CDD505-2E9C-101B-9397-08002B2CF9AE}" pid="3" name="MSIP_Label_0886e226-cfd0-4c2d-b2ff-bd9be0eaa4b4_SetDate">
    <vt:lpwstr>2026-09-29T13:23:49Z</vt:lpwstr>
  </property>
  <property fmtid="{D5CDD505-2E9C-101B-9397-08002B2CF9AE}" pid="4" name="MSIP_Label_0886e226-cfd0-4c2d-b2ff-bd9be0eaa4b4_Method">
    <vt:lpwstr>Standard</vt:lpwstr>
  </property>
  <property fmtid="{D5CDD505-2E9C-101B-9397-08002B2CF9AE}" pid="5" name="MSIP_Label_0886e226-cfd0-4c2d-b2ff-bd9be0eaa4b4_Name">
    <vt:lpwstr>Internal</vt:lpwstr>
  </property>
  <property fmtid="{D5CDD505-2E9C-101B-9397-08002B2CF9AE}" pid="6" name="MSIP_Label_0886e226-cfd0-4c2d-b2ff-bd9be0eaa4b4_SiteId">
    <vt:lpwstr>5764b349-a60c-4df1-8cf5-62d06dd5b2c3</vt:lpwstr>
  </property>
  <property fmtid="{D5CDD505-2E9C-101B-9397-08002B2CF9AE}" pid="7" name="MSIP_Label_0886e226-cfd0-4c2d-b2ff-bd9be0eaa4b4_ActionId">
    <vt:lpwstr>2b60a79e-0758-4f0d-ae8a-929e9bea550e</vt:lpwstr>
  </property>
  <property fmtid="{D5CDD505-2E9C-101B-9397-08002B2CF9AE}" pid="8" name="MSIP_Label_0886e226-cfd0-4c2d-b2ff-bd9be0eaa4b4_ContentBits">
    <vt:lpwstr>0</vt:lpwstr>
  </property>
  <property fmtid="{D5CDD505-2E9C-101B-9397-08002B2CF9AE}" pid="9" name="MSIP_Label_0886e226-cfd0-4c2d-b2ff-bd9be0eaa4b4_Tag">
    <vt:lpwstr>10, 3, 0, 1</vt:lpwstr>
  </property>
</Properties>
</file>